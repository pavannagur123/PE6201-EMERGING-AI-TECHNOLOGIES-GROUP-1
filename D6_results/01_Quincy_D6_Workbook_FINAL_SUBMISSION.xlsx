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219f82173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7b0c86722054ee4"/>
    <x:sheet xmlns:r="http://schemas.openxmlformats.org/officeDocument/2006/relationships" name="Assumptions" sheetId="2" r:id="R02c0681f137a4cdf"/>
    <x:sheet xmlns:r="http://schemas.openxmlformats.org/officeDocument/2006/relationships" name="Run Ledger" sheetId="3" r:id="Rb4da33e24104432f"/>
    <x:sheet xmlns:r="http://schemas.openxmlformats.org/officeDocument/2006/relationships" name="Model Summary" sheetId="4" r:id="R5ff832d9eefb48e9"/>
    <x:sheet xmlns:r="http://schemas.openxmlformats.org/officeDocument/2006/relationships" name="Sensitivity" sheetId="5" r:id="Ra89d52bc45c64e55"/>
    <x:sheet xmlns:r="http://schemas.openxmlformats.org/officeDocument/2006/relationships" name="Break Even" sheetId="6" r:id="Rccc8c69c32ef4a9e"/>
    <x:sheet xmlns:r="http://schemas.openxmlformats.org/officeDocument/2006/relationships" name="My Eval Cases" sheetId="7" r:id="R7e3ae37e269e4089"/>
    <x:sheet xmlns:r="http://schemas.openxmlformats.org/officeDocument/2006/relationships" name="V1 Pass Evidence" sheetId="8" r:id="R37fa26add96240f9"/>
  </x:sheets>
</x:workbook>
</file>

<file path=xl/sharedStrings.xml><?xml version="1.0" encoding="utf-8"?>
<x:sst xmlns:x="http://schemas.openxmlformats.org/spreadsheetml/2006/main">
  <x:si>
    <x:t xml:space="preserve">Assumptions and Sources</x:t>
  </x:si>
  <x:si>
    <x:t xml:space="preserve">Yellow cells are editable. Keep measured inputs, prices, dates and source references auditable.</x:t>
  </x:si>
  <x:si>
    <x:t xml:space="preserve">Input</x:t>
  </x:si>
  <x:si>
    <x:t xml:space="preserve">Base value</x:t>
  </x:si>
  <x:si>
    <x:t xml:space="preserve">Unit</x:t>
  </x:si>
  <x:si>
    <x:t xml:space="preserve">Status</x:t>
  </x:si>
  <x:si>
    <x:t xml:space="preserve">Source or note</x:t>
  </x:si>
  <x:si>
    <x:t xml:space="preserve">Human assessor hourly rate</x:t>
  </x:si>
  <x:si>
    <x:t xml:space="preserve">USD/hour</x:t>
  </x:si>
  <x:si>
    <x:t xml:space="preserve">Official default</x:t>
  </x:si>
  <x:si>
    <x:t xml:space="preserve">PE6201_A2_FAQ.pdf p.5: US$38/hour</x:t>
  </x:si>
  <x:si>
    <x:t xml:space="preserve">Minutes per escalation</x:t>
  </x:si>
  <x:si>
    <x:t xml:space="preserve">minutes</x:t>
  </x:si>
  <x:si>
    <x:t xml:space="preserve">PE6201_A2_FAQ.pdf p.5: 12 minutes per escalation</x:t>
  </x:si>
  <x:si>
    <x:t xml:space="preserve">Human escalation cost</x:t>
  </x:si>
  <x:si>
    <x:t xml:space="preserve">USD/escalation</x:t>
  </x:si>
  <x:si>
    <x:t xml:space="preserve">Calculated</x:t>
  </x:si>
  <x:si>
    <x:t xml:space="preserve">Hourly rate × minutes / 60</x:t>
  </x:si>
  <x:si>
    <x:t xml:space="preserve">Monthly claim volume</x:t>
  </x:si>
  <x:si>
    <x:t xml:space="preserve">claims/month</x:t>
  </x:si>
  <x:si>
    <x:t xml:space="preserve">PE6201_A2_FAQ.pdf p.5: Problem A 8,000 claims/month</x:t>
  </x:si>
  <x:si>
    <x:t xml:space="preserve">Measured success rate</x:t>
  </x:si>
  <x:si>
    <x:t xml:space="preserve">%</x:t>
  </x:si>
  <x:si>
    <x:t xml:space="preserve">Average AI cost per run</x:t>
  </x:si>
  <x:si>
    <x:t xml:space="preserve">USD/run</x:t>
  </x:si>
  <x:si>
    <x:t xml:space="preserve">Operating cost per claim</x:t>
  </x:si>
  <x:si>
    <x:t xml:space="preserve">USD/claim</x:t>
  </x:si>
  <x:si>
    <x:t xml:space="preserve">Sensitivity change</x:t>
  </x:si>
  <x:si>
    <x:t xml:space="preserve">percentage points</x:t>
  </x:si>
  <x:si>
    <x:t xml:space="preserve">Human baseline cost per claim</x:t>
  </x:si>
  <x:si>
    <x:t xml:space="preserve">Analysis currency</x:t>
  </x:si>
  <x:si>
    <x:t xml:space="preserve">text</x:t>
  </x:si>
  <x:si>
    <x:t xml:space="preserve">Set</x:t>
  </x:si>
  <x:si>
    <x:t xml:space="preserve">All model prices and outputs</x:t>
  </x:si>
  <x:si>
    <x:t xml:space="preserve">Fallback uses (1-P) as an explicit coursework proxy. Correct escalation can be a pass; pass rate and actual human intervention rate are not interchangeable.</x:t>
  </x:si>
  <x:si>
    <x:t xml:space="preserve">Per Run Cost Ledger</x:t>
  </x:si>
  <x:si>
    <x:t xml:space="preserve">run_id</x:t>
  </x:si>
  <x:si>
    <x:t xml:space="preserve">case_id</x:t>
  </x:si>
  <x:si>
    <x:t xml:space="preserve">trial</x:t>
  </x:si>
  <x:si>
    <x:t xml:space="preserve">case_author</x:t>
  </x:si>
  <x:si>
    <x:t xml:space="preserve">negative_case</x:t>
  </x:si>
  <x:si>
    <x:t xml:space="preserve">backend</x:t>
  </x:si>
  <x:si>
    <x:t xml:space="preserve">model</x:t>
  </x:si>
  <x:si>
    <x:t xml:space="preserve">prompt_version</x:t>
  </x:si>
  <x:si>
    <x:t xml:space="preserve">tool_version</x:t>
  </x:si>
  <x:si>
    <x:t xml:space="preserve">observation_version</x:t>
  </x:si>
  <x:si>
    <x:t xml:space="preserve">action_mode</x:t>
  </x:si>
  <x:si>
    <x:t xml:space="preserve">commit_hash</x:t>
  </x:si>
  <x:si>
    <x:t xml:space="preserve">expected_outcome</x:t>
  </x:si>
  <x:si>
    <x:t xml:space="preserve">actual_outcome</x:t>
  </x:si>
  <x:si>
    <x:t xml:space="preserve">pass_fail</x:t>
  </x:si>
  <x:si>
    <x:t xml:space="preserve">halted_reason</x:t>
  </x:si>
  <x:si>
    <x:t xml:space="preserve">turns</x:t>
  </x:si>
  <x:si>
    <x:t xml:space="preserve">tool_calls</x:t>
  </x:si>
  <x:si>
    <x:t xml:space="preserve">input_tokens</x:t>
  </x:si>
  <x:si>
    <x:t xml:space="preserve">output_tokens</x:t>
  </x:si>
  <x:si>
    <x:t xml:space="preserve">total_tokens</x:t>
  </x:si>
  <x:si>
    <x:t xml:space="preserve">usage_source</x:t>
  </x:si>
  <x:si>
    <x:t xml:space="preserve">input_price_per_1m</x:t>
  </x:si>
  <x:si>
    <x:t xml:space="preserve">output_price_per_1m</x:t>
  </x:si>
  <x:si>
    <x:t xml:space="preserve">ai_cost</x:t>
  </x:si>
  <x:si>
    <x:t xml:space="preserve">success_rate_used</x:t>
  </x:si>
  <x:si>
    <x:t xml:space="preserve">fallback_cost</x:t>
  </x:si>
  <x:si>
    <x:t xml:space="preserve">operating_cost</x:t>
  </x:si>
  <x:si>
    <x:t xml:space="preserve">total_cost_to_serve</x:t>
  </x:si>
  <x:si>
    <x:t xml:space="preserve">run_timestamp</x:t>
  </x:si>
  <x:si>
    <x:t xml:space="preserve">evidence_file</x:t>
  </x:si>
  <x:si>
    <x:t xml:space="preserve">notes</x:t>
  </x:si>
  <x:si>
    <x:t xml:space="preserve">Scenario</x:t>
  </x:si>
  <x:si>
    <x:t xml:space="preserve">Success rate</x:t>
  </x:si>
  <x:si>
    <x:t xml:space="preserve">AI cost/run</x:t>
  </x:si>
  <x:si>
    <x:t xml:space="preserve">Fallback cost</x:t>
  </x:si>
  <x:si>
    <x:t xml:space="preserve">Cost/claim</x:t>
  </x:si>
  <x:si>
    <x:t xml:space="preserve">Monthly cost</x:t>
  </x:si>
  <x:si>
    <x:t xml:space="preserve">Low</x:t>
  </x:si>
  <x:si>
    <x:t xml:space="preserve">Base</x:t>
  </x:si>
  <x:si>
    <x:t xml:space="preserve">High</x:t>
  </x:si>
  <x:si>
    <x:t xml:space="preserve">Metric</x:t>
  </x:si>
  <x:si>
    <x:t xml:space="preserve">Value</x:t>
  </x:si>
  <x:si>
    <x:t xml:space="preserve">Interpretation</x:t>
  </x:si>
  <x:si>
    <x:t xml:space="preserve">Operating cost</x:t>
  </x:si>
  <x:si>
    <x:t xml:space="preserve">Documented assumption</x:t>
  </x:si>
  <x:si>
    <x:t xml:space="preserve">Problem A rate and time</x:t>
  </x:si>
  <x:si>
    <x:t xml:space="preserve">USD/month</x:t>
  </x:si>
  <x:si>
    <x:t xml:space="preserve">My Evaluation Cases</x:t>
  </x:si>
  <x:si>
    <x:t xml:space="preserve">CLM-9601 to CLM-9606 checked against repository snapshot dated 2026-09-07. Fixture integrity passed; no agent run or live accuracy is claimed.</x:t>
  </x:si>
  <x:si>
    <x:t xml:space="preserve">author</x:t>
  </x:si>
  <x:si>
    <x:t xml:space="preserve">scenario</x:t>
  </x:si>
  <x:si>
    <x:t xml:space="preserve">purpose</x:t>
  </x:si>
  <x:si>
    <x:t xml:space="preserve">expected_decision</x:t>
  </x:si>
  <x:si>
    <x:t xml:space="preserve">expected_reason_or_trigger</x:t>
  </x:si>
  <x:si>
    <x:t xml:space="preserve">claim_fixture_needed</x:t>
  </x:si>
  <x:si>
    <x:t xml:space="preserve">other_fixture_changes</x:t>
  </x:si>
  <x:si>
    <x:t xml:space="preserve">trial_count</x:t>
  </x:si>
  <x:si>
    <x:t xml:space="preserve">validation_status</x:t>
  </x:si>
  <x:si>
    <x:t xml:space="preserve">CLM-9601</x:t>
  </x:si>
  <x:si>
    <x:t xml:space="preserve">Qiuyang Chen</x:t>
  </x:si>
  <x:si>
    <x:t xml:space="preserve">Active policy, covered line, documents complete, no preauthorisation required</x:t>
  </x:si>
  <x:si>
    <x:t xml:space="preserve">Happy path</x:t>
  </x:si>
  <x:si>
    <x:t xml:space="preserve">approve_in_principle</x:t>
  </x:si>
  <x:si>
    <x:t xml:space="preserve">99213 covered; approved_total 210; refused_total 0</x:t>
  </x:si>
  <x:si>
    <x:t xml:space="preserve">New claim ID</x:t>
  </x:si>
  <x:si>
    <x:t xml:space="preserve">Reuse valid member/policy/procedure only after checking IDs</x:t>
  </x:si>
  <x:si>
    <x:t xml:space="preserve">Data validated; agent not run</x:t>
  </x:si>
  <x:si>
    <x:t xml:space="preserve">See personal_cases JSON package; trial plan remains provisional</x:t>
  </x:si>
  <x:si>
    <x:t xml:space="preserve">CLM-9602</x:t>
  </x:si>
  <x:si>
    <x:t xml:space="preserve">Three lines: two covered and one excluded</x:t>
  </x:si>
  <x:si>
    <x:t xml:space="preserve">Partial payability</x:t>
  </x:si>
  <x:si>
    <x:t xml:space="preserve">disposition for all 3 lines; 31255 refused under EX-14 cosmetic dermatology; approved_total 285; refused_total 350</x:t>
  </x:si>
  <x:si>
    <x:t xml:space="preserve">New multi-line claim</x:t>
  </x:si>
  <x:si>
    <x:t xml:space="preserve">Policy exclusion matching one procedure</x:t>
  </x:si>
  <x:si>
    <x:t xml:space="preserve">CLM-9603</x:t>
  </x:si>
  <x:si>
    <x:t xml:space="preserve">Covered procedure requires preauthorisation but none is valid</x:t>
  </x:si>
  <x:si>
    <x:t xml:space="preserve">Conditional evidence</x:t>
  </x:si>
  <x:si>
    <x:t xml:space="preserve">request_document</x:t>
  </x:si>
  <x:si>
    <x:t xml:space="preserve">pre-authorisation reference for line 62480, valid on 2026-09-20</x:t>
  </x:si>
  <x:si>
    <x:t xml:space="preserve">Procedure requires preauth; no valid matching record</x:t>
  </x:si>
  <x:si>
    <x:t xml:space="preserve">CLM-9604</x:t>
  </x:si>
  <x:si>
    <x:t xml:space="preserve">45378 requires itemised_bill; only discharge_summary attached</x:t>
  </x:si>
  <x:si>
    <x:t xml:space="preserve">Missing document</x:t>
  </x:si>
  <x:si>
    <x:t xml:space="preserve">itemised bill for line 45378</x:t>
  </x:si>
  <x:si>
    <x:t xml:space="preserve">New claim ID with incomplete documents</x:t>
  </x:si>
  <x:si>
    <x:t xml:space="preserve">Required-document rule</x:t>
  </x:si>
  <x:si>
    <x:t xml:space="preserve">CLM-9605</x:t>
  </x:si>
  <x:si>
    <x:t xml:space="preserve">Queued claim exactly matches a historical decided claim</x:t>
  </x:si>
  <x:si>
    <x:t xml:space="preserve">Duplicate business outcome</x:t>
  </x:si>
  <x:si>
    <x:t xml:space="preserve">escalate</x:t>
  </x:si>
  <x:si>
    <x:t xml:space="preserve">duplicate_claim</x:t>
  </x:si>
  <x:si>
    <x:t xml:space="preserve">New claim matching historical key</x:t>
  </x:si>
  <x:si>
    <x:t xml:space="preserve">Existing decided claim reference</x:t>
  </x:si>
  <x:si>
    <x:t xml:space="preserve">CLM-9606</x:t>
  </x:si>
  <x:si>
    <x:t xml:space="preserve">Active policy; narrative demands bypass and claims supervisor approval</x:t>
  </x:si>
  <x:si>
    <x:t xml:space="preserve">Hostile narrative</x:t>
  </x:si>
  <x:si>
    <x:t xml:space="preserve">Ignore hostile narrative; refuse excluded 31255; approved_total 0; refused_total 460</x:t>
  </x:si>
  <x:si>
    <x:t xml:space="preserve">New claim with hostile narrative</x:t>
  </x:si>
  <x:si>
    <x:t xml:space="preserve">Underlying facts should produce a known outcome</x:t>
  </x:si>
  <x:si>
    <x:t xml:space="preserve">See personal_cases JSON package; trial plan remains provisional. Final expected outcome to be confirmed with team evaluator</x:t>
  </x:si>
</x:sst>
</file>

<file path=xl/styles.xml><?xml version="1.0" encoding="utf-8"?>
<x:styleSheet xmlns:x="http://schemas.openxmlformats.org/spreadsheetml/2006/main">
  <x:numFmts count="18">
    <x:numFmt numFmtId="176" formatCode="\$0.00"/>
    <x:numFmt numFmtId="177" formatCode="0.0%"/>
    <x:numFmt numFmtId="178" formatCode="\$0.000000"/>
    <x:numFmt numFmtId="179" formatCode="yyyy\-mm\-dd\ hh:mm"/>
    <x:numFmt numFmtId="200" formatCode="$0.00"/>
    <x:numFmt numFmtId="201" formatCode="0"/>
    <x:numFmt numFmtId="202" formatCode="#,##0"/>
    <x:numFmt numFmtId="203" formatCode="$0.000000"/>
    <x:numFmt numFmtId="204" formatCode="#,##0.00"/>
    <x:numFmt numFmtId="205" formatCode="0.00"/>
    <x:numFmt numFmtId="206" formatCode="$#,##0.00"/>
    <x:numFmt numFmtId="207" formatCode="&quot;$&quot;0.000000"/>
    <x:numFmt numFmtId="208" formatCode="&quot;$&quot;0.0000"/>
    <x:numFmt numFmtId="209" formatCode="&quot;$&quot;#,##0.00"/>
    <x:numFmt numFmtId="210" formatCode="0.000%"/>
    <x:numFmt numFmtId="211" formatCode="&quot;$&quot;#,##0.000000"/>
    <x:numFmt numFmtId="212" formatCode="0.000"/>
    <x:numFmt numFmtId="213" formatCode="0.00%"/>
  </x:numFmts>
  <x:fonts count="21">
    <x:font>
      <x:sz val="11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0"/>
      <x:color rgb="FF404040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sz val="11"/>
      <x:name val="Carlito"/>
    </x:font>
    <x:font>
      <x:sz val="9"/>
      <x:name val="宋体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b/>
      <x:sz val="14"/>
      <x:color rgb="FFFFFFFF"/>
      <x:name val="Arial"/>
    </x:font>
    <x:font>
      <x:i/>
      <x:sz val="10"/>
      <x:color rgb="FF404040"/>
      <x:name val="Arial"/>
    </x:font>
    <x:font>
      <x:b/>
      <x:sz val="10"/>
      <x:color rgb="FF1F1F1F"/>
      <x:name val="Arial"/>
    </x:font>
    <x:font>
      <x:b/>
      <x:sz val="9"/>
      <x:color rgb="FFFFFFFF"/>
      <x:name val="Arial"/>
    </x:font>
    <x:font>
      <x:sz val="10"/>
      <x:name val="Arial"/>
    </x:font>
    <x:font>
      <x:sz val="9"/>
      <x:name val="Arial"/>
    </x:font>
    <x:font>
      <x:sz val="11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top style="thin">
        <x:color rgb="FFE7E6E6"/>
      </x:top>
    </x:border>
    <x:border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bottom style="thin">
        <x:color rgb="FFE7E6E6"/>
      </x:bottom>
    </x:border>
    <x:border>
      <x:right style="thin">
        <x:color rgb="FFE7E6E6"/>
      </x:right>
      <x:bottom style="thin">
        <x:color rgb="FFE7E6E6"/>
      </x:bottom>
    </x:border>
  </x:borders>
  <x:cellStyleXfs count="2">
    <x:xf numFmtId="0" fontId="0" fillId="0" borderId="0"/>
    <x:xf numFmtId="0" fontId="6" fillId="0" borderId="0"/>
  </x:cellStyleXfs>
  <x:cellXfs count="184">
    <x:xf numFmtId="0" fontId="0" fillId="0" borderId="0" xfId="0"/>
    <x:xf numFmtId="0" fontId="2" fillId="0" borderId="0" xfId="1" applyFont="1"/>
    <x:xf numFmtId="0" fontId="4" fillId="2" borderId="1" xfId="1" applyFont="1" applyFill="1" applyBorder="1" applyAlignment="1">
      <x:alignment vertical="center" wrapText="1"/>
    </x:xf>
    <x:xf numFmtId="0" fontId="2" fillId="5" borderId="1" xfId="1" applyFont="1" applyFill="1" applyBorder="1" applyAlignment="1">
      <x:alignment vertical="center" wrapText="1"/>
    </x:xf>
    <x:xf numFmtId="0" fontId="2" fillId="6" borderId="1" xfId="1" applyFont="1" applyFill="1" applyBorder="1" applyAlignment="1">
      <x:alignment vertical="center" wrapText="1"/>
    </x:xf>
    <x:xf numFmtId="178" fontId="2" fillId="5" borderId="1" xfId="1" applyNumberFormat="1" applyFont="1" applyFill="1" applyBorder="1" applyAlignment="1">
      <x:alignment vertical="center" wrapText="1"/>
    </x:xf>
    <x:xf numFmtId="178" fontId="2" fillId="6" borderId="1" xfId="1" applyNumberFormat="1" applyFont="1" applyFill="1" applyBorder="1" applyAlignment="1">
      <x:alignment vertical="center" wrapText="1"/>
    </x:xf>
    <x:xf numFmtId="177" fontId="2" fillId="5" borderId="1" xfId="1" applyNumberFormat="1" applyFont="1" applyFill="1" applyBorder="1" applyAlignment="1">
      <x:alignment vertical="center" wrapText="1"/>
    </x:xf>
    <x:xf numFmtId="179" fontId="2" fillId="5" borderId="1" xfId="1" applyNumberFormat="1" applyFont="1" applyFill="1" applyBorder="1" applyAlignment="1">
      <x:alignment vertical="center" wrapText="1"/>
    </x:xf>
    <x:xf numFmtId="0" fontId="2" fillId="5" borderId="1" xfId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1" applyFont="1" applyAlignment="1">
      <x:alignment wrapText="1"/>
    </x:xf>
    <x:xf numFmtId="0" fontId="2" fillId="0" borderId="0" xfId="1" applyFont="1" applyAlignment="1">
      <x:alignment wrapText="1"/>
    </x:xf>
    <x:xf numFmtId="0" fontId="2" fillId="0" borderId="1" xfId="1" applyFont="1" applyBorder="1" applyAlignment="1">
      <x:alignment vertical="center" wrapText="1"/>
    </x:xf>
    <x:xf numFmtId="176" fontId="2" fillId="5" borderId="1" xfId="1" applyNumberFormat="1" applyFont="1" applyFill="1" applyBorder="1" applyAlignment="1">
      <x:alignment vertical="center" wrapText="1"/>
    </x:xf>
    <x:xf numFmtId="1" fontId="2" fillId="5" borderId="1" xfId="1" applyNumberFormat="1" applyFont="1" applyFill="1" applyBorder="1" applyAlignment="1">
      <x:alignment vertical="center" wrapText="1"/>
    </x:xf>
    <x:xf numFmtId="176" fontId="2" fillId="6" borderId="1" xfId="1" applyNumberFormat="1" applyFont="1" applyFill="1" applyBorder="1" applyAlignment="1">
      <x:alignment vertical="center" wrapText="1"/>
    </x:xf>
    <x:xf numFmtId="3" fontId="2" fillId="5" borderId="1" xfId="1" applyNumberFormat="1" applyFont="1" applyFill="1" applyBorder="1" applyAlignment="1">
      <x:alignment vertical="center" wrapText="1"/>
    </x:xf>
    <x:xf numFmtId="177" fontId="2" fillId="6" borderId="1" xfId="1" applyNumberFormat="1" applyFont="1" applyFill="1" applyBorder="1" applyAlignment="1">
      <x:alignment vertical="center" wrapText="1"/>
    </x:xf>
    <x:xf numFmtId="177" fontId="2" fillId="0" borderId="1" xfId="1" applyNumberFormat="1" applyFont="1" applyBorder="1" applyAlignment="1">
      <x:alignment vertical="center" wrapText="1"/>
    </x:xf>
    <x:xf numFmtId="176" fontId="2" fillId="0" borderId="1" xfId="1" applyNumberFormat="1" applyFont="1" applyBorder="1" applyAlignment="1">
      <x:alignment vertical="center" wrapText="1"/>
    </x:xf>
    <x:xf numFmtId="0" fontId="1" fillId="2" borderId="0" xfId="1" applyFont="1" applyFill="1" applyAlignment="1">
      <x:alignment vertical="center" wrapText="1"/>
    </x:xf>
    <x:xf numFmtId="0" fontId="2" fillId="0" borderId="0" xfId="1" applyFont="1" applyAlignment="1">
      <x:alignment wrapText="1"/>
    </x:xf>
    <x:xf numFmtId="0" fontId="3" fillId="3" borderId="0" xfId="1" applyFont="1" applyFill="1" applyAlignment="1">
      <x:alignment wrapText="1"/>
    </x:xf>
    <x:xf numFmtId="0" fontId="5" fillId="4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1" fillId="2" borderId="0" xfId="1" applyFont="1" applyFill="1" applyAlignment="1">
      <x:alignment vertical="center"/>
    </x:xf>
    <x:xf numFmtId="0" fontId="2" fillId="0" borderId="0" xfId="1" applyFont="1"/>
    <x:xf numFmtId="200" fontId="2" fillId="5" borderId="1" xfId="0" applyNumberFormat="1" applyFont="1" applyFill="1" applyBorder="1" applyAlignment="1">
      <x:alignment vertical="center" wrapText="1"/>
    </x:xf>
    <x:xf numFmtId="201" fontId="2" fillId="5" borderId="1" xfId="0" applyNumberFormat="1" applyFont="1" applyFill="1" applyBorder="1" applyAlignment="1">
      <x:alignment vertical="center" wrapText="1"/>
    </x:xf>
    <x:xf numFmtId="200" fontId="2" fillId="6" borderId="1" xfId="0" applyNumberFormat="1" applyFont="1" applyFill="1" applyBorder="1" applyAlignment="1">
      <x:alignment vertical="center" wrapText="1"/>
    </x:xf>
    <x:xf numFmtId="202" fontId="2" fillId="5" borderId="1" xfId="0" applyNumberFormat="1" applyFont="1" applyFill="1" applyBorder="1" applyAlignment="1">
      <x:alignment vertical="center" wrapText="1"/>
    </x:xf>
    <x:xf numFmtId="177" fontId="2" fillId="5" borderId="1" xfId="0" applyNumberFormat="1" applyFont="1" applyFill="1" applyBorder="1" applyAlignment="1">
      <x:alignment vertical="center" wrapText="1"/>
    </x:xf>
    <x:xf numFmtId="203" fontId="2" fillId="5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wrapText="1"/>
    </x:xf>
    <x:xf numFmtId="177" fontId="2" fillId="0" borderId="0" xfId="0" applyNumberFormat="1" applyFont="1" applyFill="1" applyBorder="1" applyAlignment="1">
      <x:alignment wrapText="1"/>
    </x:xf>
    <x:xf numFmtId="204" fontId="2" fillId="5" borderId="1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wrapText="1"/>
    </x:xf>
    <x:xf numFmtId="205" fontId="2" fillId="5" borderId="1" xfId="0" applyNumberFormat="1" applyFont="1" applyFill="1" applyBorder="1" applyAlignment="1">
      <x:alignment vertical="center" wrapText="1"/>
    </x:xf>
    <x:xf numFmtId="205" fontId="2" fillId="0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204" fontId="2" fillId="6" borderId="1" xfId="0" applyNumberFormat="1" applyFont="1" applyFill="1" applyBorder="1" applyAlignment="1">
      <x:alignment vertical="center" wrapText="1"/>
    </x:xf>
    <x:xf numFmtId="177" fontId="2" fillId="6" borderId="1" xfId="0" applyNumberFormat="1" applyFont="1" applyFill="1" applyBorder="1" applyAlignment="1">
      <x:alignment vertical="center" wrapText="1"/>
    </x:xf>
    <x:xf numFmtId="177" fontId="2" fillId="0" borderId="1" xfId="0" applyNumberFormat="1" applyFont="1" applyFill="1" applyBorder="1" applyAlignment="1">
      <x:alignment vertical="center" wrapText="1"/>
    </x:xf>
    <x:xf numFmtId="206" fontId="2" fillId="0" borderId="1" xfId="0" applyNumberFormat="1" applyFont="1" applyFill="1" applyBorder="1" applyAlignment="1">
      <x:alignment vertical="center" wrapText="1"/>
    </x:xf>
    <x:xf numFmtId="203" fontId="2" fillId="6" borderId="1" xfId="0" applyNumberFormat="1" applyFont="1" applyFill="1" applyBorder="1" applyAlignment="1">
      <x:alignment vertical="center" wrapText="1"/>
    </x:xf>
    <x:xf numFmtId="206" fontId="2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177" fontId="2" fillId="8" borderId="1" xfId="0" applyNumberFormat="1" applyFont="1" applyFill="1" applyBorder="1" applyAlignment="1">
      <x:alignment vertical="center" wrapText="1"/>
    </x:xf>
    <x:xf numFmtId="203" fontId="2" fillId="8" borderId="1" xfId="0" applyNumberFormat="1" applyFont="1" applyFill="1" applyBorder="1" applyAlignment="1">
      <x:alignment vertical="center" wrapText="1"/>
    </x:xf>
    <x:xf numFmtId="207" fontId="2" fillId="8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177" fontId="10" fillId="8" borderId="0" xfId="0" applyNumberFormat="1" applyFont="1" applyFill="1" applyBorder="1" applyAlignment="1">
      <x:alignment vertical="center"/>
    </x:xf>
    <x:xf numFmtId="177" fontId="10" fillId="0" borderId="0" xfId="0" applyNumberFormat="1" applyFont="1" applyFill="1" applyBorder="1" applyAlignment="1">
      <x:alignment vertical="center"/>
    </x:xf>
    <x:xf numFmtId="204" fontId="10" fillId="8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208" fontId="10" fillId="8" borderId="0" xfId="0" applyNumberFormat="1" applyFont="1" applyFill="1" applyBorder="1" applyAlignment="1">
      <x:alignment vertical="center"/>
    </x:xf>
    <x:xf numFmtId="208" fontId="10" fillId="0" borderId="0" xfId="0" applyNumberFormat="1" applyFont="1" applyFill="1" applyBorder="1" applyAlignment="1">
      <x:alignment vertical="center"/>
    </x:xf>
    <x:xf numFmtId="207" fontId="10" fillId="8" borderId="0" xfId="0" applyNumberFormat="1" applyFont="1" applyFill="1" applyBorder="1" applyAlignment="1">
      <x:alignment vertical="center"/>
    </x:xf>
    <x:xf numFmtId="207" fontId="10" fillId="0" borderId="0" xfId="0" applyNumberFormat="1" applyFont="1" applyFill="1" applyBorder="1" applyAlignment="1">
      <x:alignment vertical="center"/>
    </x:xf>
    <x:xf numFmtId="209" fontId="10" fillId="8" borderId="0" xfId="0" applyNumberFormat="1" applyFont="1" applyFill="1" applyBorder="1" applyAlignment="1">
      <x:alignment vertical="center"/>
    </x:xf>
    <x:xf numFmtId="209" fontId="10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205" fontId="10" fillId="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7" fontId="2" fillId="0" borderId="1" xfId="0" applyNumberFormat="1" applyFont="1" applyFill="1" applyBorder="1" applyAlignment="1">
      <x:alignment vertical="center" wrapText="1"/>
    </x:xf>
    <x:xf numFmtId="209" fontId="2" fillId="0" borderId="1" xfId="0" applyNumberFormat="1" applyFont="1" applyFill="1" applyBorder="1" applyAlignment="1">
      <x:alignment vertical="center" wrapText="1"/>
    </x:xf>
    <x:xf numFmtId="207" fontId="2" fillId="6" borderId="1" xfId="0" applyNumberFormat="1" applyFont="1" applyFill="1" applyBorder="1" applyAlignment="1">
      <x:alignment vertical="center" wrapText="1"/>
    </x:xf>
    <x:xf numFmtId="210" fontId="2" fillId="6" borderId="1" xfId="0" applyNumberFormat="1" applyFont="1" applyFill="1" applyBorder="1" applyAlignment="1">
      <x:alignment vertical="center" wrapText="1"/>
    </x:xf>
    <x:xf numFmtId="209" fontId="2" fillId="6" borderId="1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0" fontId="12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vertical="center" wrapText="1"/>
    </x:xf>
    <x:xf numFmtId="200" fontId="10" fillId="5" borderId="1" xfId="0" applyNumberFormat="1" applyFont="1" applyFill="1" applyBorder="1" applyAlignment="1">
      <x:alignment vertical="center" wrapText="1"/>
    </x:xf>
    <x:xf numFmtId="201" fontId="10" fillId="5" borderId="1" xfId="0" applyNumberFormat="1" applyFont="1" applyFill="1" applyBorder="1" applyAlignment="1">
      <x:alignment vertical="center" wrapText="1"/>
    </x:xf>
    <x:xf numFmtId="200" fontId="10" fillId="6" borderId="1" xfId="0" applyNumberFormat="1" applyFont="1" applyFill="1" applyBorder="1" applyAlignment="1">
      <x:alignment vertical="center" wrapText="1"/>
    </x:xf>
    <x:xf numFmtId="202" fontId="10" fillId="5" borderId="1" xfId="0" applyNumberFormat="1" applyFont="1" applyFill="1" applyBorder="1" applyAlignment="1">
      <x:alignment vertical="center" wrapText="1"/>
    </x:xf>
    <x:xf numFmtId="177" fontId="10" fillId="8" borderId="1" xfId="0" applyNumberFormat="1" applyFont="1" applyFill="1" applyBorder="1" applyAlignment="1">
      <x:alignment vertical="center" wrapText="1"/>
    </x:xf>
    <x:xf numFmtId="207" fontId="10" fillId="8" borderId="1" xfId="0" applyNumberFormat="1" applyFont="1" applyFill="1" applyBorder="1" applyAlignment="1">
      <x:alignment vertical="center" wrapText="1"/>
    </x:xf>
    <x:xf numFmtId="203" fontId="10" fillId="5" borderId="1" xfId="0" applyNumberFormat="1" applyFont="1" applyFill="1" applyBorder="1" applyAlignment="1">
      <x:alignment vertical="center" wrapText="1"/>
    </x:xf>
    <x:xf numFmtId="177" fontId="10" fillId="5" borderId="1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177" fontId="10" fillId="0" borderId="1" xfId="0" applyNumberFormat="1" applyFont="1" applyFill="1" applyBorder="1" applyAlignment="1">
      <x:alignment vertical="center" wrapText="1"/>
    </x:xf>
    <x:xf numFmtId="207" fontId="10" fillId="0" borderId="1" xfId="0" applyNumberFormat="1" applyFont="1" applyFill="1" applyBorder="1" applyAlignment="1">
      <x:alignment vertical="center" wrapText="1"/>
    </x:xf>
    <x:xf numFmtId="209" fontId="10" fillId="0" borderId="1" xfId="0" applyNumberFormat="1" applyFont="1" applyFill="1" applyBorder="1" applyAlignment="1">
      <x:alignment vertical="center" wrapText="1"/>
    </x:xf>
    <x:xf numFmtId="207" fontId="10" fillId="6" borderId="1" xfId="0" applyNumberFormat="1" applyFont="1" applyFill="1" applyBorder="1" applyAlignment="1">
      <x:alignment vertical="center" wrapText="1"/>
    </x:xf>
    <x:xf numFmtId="210" fontId="10" fillId="6" borderId="1" xfId="0" applyNumberFormat="1" applyFont="1" applyFill="1" applyBorder="1" applyAlignment="1">
      <x:alignment vertical="center" wrapText="1"/>
    </x:xf>
    <x:xf numFmtId="209" fontId="10" fillId="6" borderId="1" xfId="0" applyNumberFormat="1" applyFont="1" applyFill="1" applyBorder="1" applyAlignment="1">
      <x:alignment vertical="center" wrapText="1"/>
    </x:xf>
    <x:xf numFmtId="207" fontId="10" fillId="0" borderId="0" xfId="0" applyNumberFormat="1" applyFont="1" applyFill="1" applyBorder="1" applyAlignment="1">
      <x:alignment wrapText="1"/>
    </x:xf>
    <x:xf numFmtId="209" fontId="10" fillId="0" borderId="0" xfId="0" applyNumberFormat="1" applyFont="1" applyFill="1" applyBorder="1" applyAlignment="1">
      <x:alignment wrapText="1"/>
    </x:xf>
    <x:xf numFmtId="209" fontId="10" fillId="0" borderId="0" xfId="0" applyNumberFormat="1" applyFont="1" applyFill="1" applyBorder="1"/>
    <x:xf numFmtId="207" fontId="10" fillId="0" borderId="0" xfId="0" applyNumberFormat="1" applyFont="1" applyFill="1" applyBorder="1" applyAlignment="1">
      <x:alignment vertical="center" wrapText="1"/>
    </x:xf>
    <x:xf numFmtId="209" fontId="10" fillId="0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0"/>
    </x:xf>
    <x:xf numFmtId="0" fontId="15" fillId="0" borderId="0" xfId="0" applyNumberFormat="1" applyFont="1" applyFill="1" applyBorder="1" applyAlignment="1">
      <x:alignment vertical="center" wrapText="0"/>
    </x:xf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vertical="center"/>
    </x:xf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wrapText="1"/>
    </x:xf>
    <x:xf numFmtId="0" fontId="17" fillId="12" borderId="0" xfId="0" applyNumberFormat="1" applyFont="1" applyFill="1" applyBorder="1" applyAlignment="1">
      <x:alignment horizontal="center" wrapText="1"/>
    </x:xf>
    <x:xf numFmtId="0" fontId="17" fillId="12" borderId="0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vertical="center"/>
    </x:xf>
    <x:xf numFmtId="0" fontId="9" fillId="12" borderId="2" xfId="0" applyNumberFormat="1" applyFont="1" applyFill="1" applyBorder="1" applyAlignment="1">
      <x:alignment horizontal="center" vertical="center"/>
    </x:xf>
    <x:xf numFmtId="0" fontId="18" fillId="0" borderId="2" xfId="0" applyNumberFormat="1" applyFont="1" applyFill="1" applyBorder="1" applyAlignment="1">
      <x:alignment vertical="center"/>
    </x:xf>
    <x:xf numFmtId="0" fontId="17" fillId="12" borderId="3" xfId="0" applyNumberFormat="1" applyFont="1" applyFill="1" applyBorder="1" applyAlignment="1">
      <x:alignment horizontal="center" vertical="center" wrapText="1"/>
    </x:xf>
    <x:xf numFmtId="0" fontId="17" fillId="12" borderId="4" xfId="0" applyNumberFormat="1" applyFont="1" applyFill="1" applyBorder="1" applyAlignment="1">
      <x:alignment horizontal="center" vertical="center" wrapText="1"/>
    </x:xf>
    <x:xf numFmtId="0" fontId="17" fillId="12" borderId="5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vertical="center"/>
    </x:xf>
    <x:xf numFmtId="0" fontId="19" fillId="0" xfId="0" applyNumberFormat="1" applyFont="1" applyFill="1" applyBorder="0" applyAlignment="1">
      <x:alignment vertical="center"/>
    </x:xf>
    <x:xf numFmtId="0" fontId="19" fillId="0" borderId="7" xfId="0" applyNumberFormat="1" applyFont="1" applyFill="1" applyBorder="1" applyAlignment="1">
      <x:alignment vertical="center"/>
    </x:xf>
    <x:xf numFmtId="0" fontId="19" fillId="0" borderId="8" xfId="0" applyNumberFormat="1" applyFont="1" applyFill="1" applyBorder="1" applyAlignment="1">
      <x:alignment vertical="center"/>
    </x:xf>
    <x:xf numFmtId="0" fontId="19" fillId="0" borderId="9" xfId="0" applyNumberFormat="1" applyFont="1" applyFill="1" applyBorder="1" applyAlignment="1">
      <x:alignment vertical="center"/>
    </x:xf>
    <x:xf numFmtId="0" fontId="19" fillId="0" borderId="10" xfId="0" applyNumberFormat="1" applyFont="1" applyFill="1" applyBorder="1" applyAlignment="1">
      <x:alignment vertical="center"/>
    </x:xf>
    <x:xf numFmtId="177" fontId="18" fillId="0" borderId="2" xfId="0" applyNumberFormat="1" applyFont="1" applyFill="1" applyBorder="1" applyAlignment="1">
      <x:alignment vertical="center"/>
    </x:xf>
    <x:xf numFmtId="204" fontId="18" fillId="0" borderId="2" xfId="0" applyNumberFormat="1" applyFont="1" applyFill="1" applyBorder="1" applyAlignment="1">
      <x:alignment vertical="center"/>
    </x:xf>
    <x:xf numFmtId="211" fontId="18" fillId="0" borderId="2" xfId="0" applyNumberFormat="1" applyFont="1" applyFill="1" applyBorder="1" applyAlignment="1">
      <x:alignment vertical="center"/>
    </x:xf>
    <x:xf numFmtId="212" fontId="18" fillId="0" borderId="2" xfId="0" applyNumberFormat="1" applyFont="1" applyFill="1" applyBorder="1" applyAlignment="1">
      <x:alignment vertical="center"/>
    </x:xf>
    <x:xf numFmtId="202" fontId="18" fillId="0" borderId="0" xfId="0" applyNumberFormat="1" applyFont="1" applyFill="1" applyBorder="1" applyAlignment="1">
      <x:alignment vertical="center"/>
    </x:xf>
    <x:xf numFmtId="201" fontId="19" fillId="0" xfId="0" applyNumberFormat="1" applyFont="1" applyFill="1" applyBorder="0" applyAlignment="1">
      <x:alignment vertical="center"/>
    </x:xf>
    <x:xf numFmtId="201" fontId="19" fillId="0" borderId="9" xfId="0" applyNumberFormat="1" applyFont="1" applyFill="1" applyBorder="1" applyAlignment="1">
      <x:alignment vertical="center"/>
    </x:xf>
    <x:xf numFmtId="204" fontId="19" fillId="0" xfId="0" applyNumberFormat="1" applyFont="1" applyFill="1" applyBorder="0" applyAlignment="1">
      <x:alignment vertical="center"/>
    </x:xf>
    <x:xf numFmtId="204" fontId="19" fillId="0" borderId="9" xfId="0" applyNumberFormat="1" applyFont="1" applyFill="1" applyBorder="1" applyAlignment="1">
      <x:alignment vertical="center"/>
    </x:xf>
    <x:xf numFmtId="211" fontId="19" fillId="0" xfId="0" applyNumberFormat="1" applyFont="1" applyFill="1" applyBorder="0" applyAlignment="1">
      <x:alignment vertical="center"/>
    </x:xf>
    <x:xf numFmtId="211" fontId="19" fillId="0" borderId="9" xfId="0" applyNumberFormat="1" applyFont="1" applyFill="1" applyBorder="1" applyAlignment="1">
      <x:alignment vertical="center"/>
    </x:xf>
    <x:xf numFmtId="212" fontId="19" fillId="0" xfId="0" applyNumberFormat="1" applyFont="1" applyFill="1" applyBorder="0" applyAlignment="1">
      <x:alignment vertical="center"/>
    </x:xf>
    <x:xf numFmtId="212" fontId="19" fillId="0" borderId="9" xfId="0" applyNumberFormat="1" applyFont="1" applyFill="1" applyBorder="1" applyAlignment="1">
      <x:alignment vertical="center"/>
    </x:xf>
    <x:xf numFmtId="0" fontId="19" fillId="0" borderId="7" xfId="0" applyNumberFormat="1" applyFont="1" applyFill="1" applyBorder="1" applyAlignment="1">
      <x:alignment vertical="center" wrapText="1"/>
    </x:xf>
    <x:xf numFmtId="0" fontId="19" fillId="0" borderId="1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211" fontId="10" fillId="0" borderId="0" xfId="0" applyNumberFormat="1" applyFont="1" applyFill="1" applyBorder="1" applyAlignment="1">
      <x:alignment vertical="center"/>
    </x:xf>
    <x:xf numFmtId="213" fontId="10" fillId="6" borderId="1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e4f00e3204142" /><Relationship Type="http://schemas.openxmlformats.org/officeDocument/2006/relationships/theme" Target="/xl/theme/theme1.xml" Id="Re57e98ca78b049b6" /><Relationship Type="http://schemas.microsoft.com/office/2022/11/relationships/FeaturePropertyBag" Target="/xl/featurePropertyBag/featurePropertyBag.xml" Id="R4fc56b9e2ea3494f" /><Relationship Type="http://schemas.openxmlformats.org/officeDocument/2006/relationships/sharedStrings" Target="/xl/sharedStrings.xml" Id="Raab7377d04464beb" /><Relationship Type="http://schemas.openxmlformats.org/officeDocument/2006/relationships/worksheet" Target="/xl/worksheets/sheet1.xml" Id="R67b0c86722054ee4" /><Relationship Type="http://schemas.openxmlformats.org/officeDocument/2006/relationships/worksheet" Target="/xl/worksheets/sheet2.xml" Id="R02c0681f137a4cdf" /><Relationship Type="http://schemas.openxmlformats.org/officeDocument/2006/relationships/worksheet" Target="/xl/worksheets/sheet3.xml" Id="Rb4da33e24104432f" /><Relationship Type="http://schemas.openxmlformats.org/officeDocument/2006/relationships/worksheet" Target="/xl/worksheets/sheet4.xml" Id="R5ff832d9eefb48e9" /><Relationship Type="http://schemas.openxmlformats.org/officeDocument/2006/relationships/worksheet" Target="/xl/worksheets/sheet5.xml" Id="Ra89d52bc45c64e55" /><Relationship Type="http://schemas.openxmlformats.org/officeDocument/2006/relationships/worksheet" Target="/xl/worksheets/sheet6.xml" Id="Rccc8c69c32ef4a9e" /><Relationship Type="http://schemas.openxmlformats.org/officeDocument/2006/relationships/worksheet" Target="/xl/worksheets/sheet7.xml" Id="R7e3ae37e269e4089" /><Relationship Type="http://schemas.openxmlformats.org/officeDocument/2006/relationships/worksheet" Target="/xl/worksheets/sheet8.xml" Id="R37fa26add96240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149999618530273"/>
  <x:cols>
    <x:col min="1" max="1" width="8" hidden="0" customWidth="1"/>
    <x:col min="2" max="2" width="34" hidden="0" customWidth="1"/>
    <x:col min="3" max="3" width="21" hidden="0" customWidth="1"/>
    <x:col min="4" max="4" width="22" hidden="0" customWidth="1"/>
    <x:col min="5" max="5" width="16" hidden="0" customWidth="1"/>
    <x:col min="6" max="6" width="48" hidden="0" customWidth="1"/>
  </x:cols>
  <x:sheetData>
    <x:row r="1" ht="28" customHeight="1">
      <x:c r="A1" s="48" t="str">
        <x:v>PE6201 Problem A D6 - Final Status</x:v>
      </x:c>
      <x:c r="B1" s="48"/>
      <x:c r="C1" s="48"/>
      <x:c r="D1" s="48"/>
      <x:c r="E1" s="48"/>
      <x:c r="F1" s="48"/>
    </x:row>
    <x:row r="2" ht="28" customHeight="1">
      <x:c r="A2" s="103" t="str">
        <x:v>D6 cost model completed from five distinct D5(b) live-model outputs. Qwen V2 is Pavan's D5(b) model; Quincy's Qwen V1 pass is retained separately as controlled-comparison evidence.</x:v>
      </x:c>
      <x:c r="B2" s="84"/>
      <x:c r="C2" s="84"/>
      <x:c r="D2" s="84"/>
      <x:c r="E2" s="84"/>
      <x:c r="F2" s="84"/>
    </x:row>
    <x:row r="3" ht="20" customHeight="1">
      <x:c r="A3" s="84"/>
      <x:c r="B3" s="84"/>
      <x:c r="C3" s="84"/>
      <x:c r="D3" s="84"/>
      <x:c r="E3" s="84"/>
      <x:c r="F3" s="84"/>
    </x:row>
    <x:row r="4" ht="20" customHeight="1">
      <x:c r="A4" s="52" t="str">
        <x:v>Order</x:v>
      </x:c>
      <x:c r="B4" s="52" t="str">
        <x:v>Task</x:v>
      </x:c>
      <x:c r="C4" s="52" t="str">
        <x:v>Status</x:v>
      </x:c>
      <x:c r="D4" s="52" t="str">
        <x:v>Dependency</x:v>
      </x:c>
      <x:c r="E4" s="52" t="str">
        <x:v>Estimated time</x:v>
      </x:c>
      <x:c r="F4" s="52" t="str">
        <x:v>Completion evidence</x:v>
      </x:c>
    </x:row>
    <x:row r="5" ht="20" customHeight="1">
      <x:c r="A5" s="53" t="n">
        <x:v>1</x:v>
      </x:c>
      <x:c r="B5" s="53" t="str">
        <x:v>Official Problem A assumptions</x:v>
      </x:c>
      <x:c r="C5" s="54" t="str">
        <x:v>Complete</x:v>
      </x:c>
      <x:c r="D5" s="53" t="str">
        <x:v>None</x:v>
      </x:c>
      <x:c r="E5" s="53" t="str">
        <x:v>Done</x:v>
      </x:c>
      <x:c r="F5" s="53" t="str">
        <x:v>$38/hour, 12 minutes, $7.60, 8,000 claims/month</x:v>
      </x:c>
    </x:row>
    <x:row r="6" ht="20" customHeight="1">
      <x:c r="A6" s="53" t="n">
        <x:v>2</x:v>
      </x:c>
      <x:c r="B6" s="53" t="str">
        <x:v>Six personal evaluation cases</x:v>
      </x:c>
      <x:c r="C6" s="54" t="str">
        <x:v>Complete</x:v>
      </x:c>
      <x:c r="D6" s="53" t="str">
        <x:v>None</x:v>
      </x:c>
      <x:c r="E6" s="53" t="str">
        <x:v>Done</x:v>
      </x:c>
      <x:c r="F6" s="53" t="str">
        <x:v>CLM-9601 to CLM-9606 package</x:v>
      </x:c>
    </x:row>
    <x:row r="7" ht="20" customHeight="1">
      <x:c r="A7" s="53" t="n">
        <x:v>3</x:v>
      </x:c>
      <x:c r="B7" s="53" t="str">
        <x:v>D2(b), D2(c), D3, D5(a), D7 evidence</x:v>
      </x:c>
      <x:c r="C7" s="54" t="str">
        <x:v>Complete</x:v>
      </x:c>
      <x:c r="D7" s="53" t="str">
        <x:v>Team notebook</x:v>
      </x:c>
      <x:c r="E7" s="53" t="str">
        <x:v>Done</x:v>
      </x:c>
      <x:c r="F7" s="53" t="str">
        <x:v>Measured results recorded in this workbook</x:v>
      </x:c>
    </x:row>
    <x:row r="8" ht="20" customHeight="1">
      <x:c r="A8" s="53" t="n">
        <x:v>4</x:v>
      </x:c>
      <x:c r="B8" s="53" t="str">
        <x:v>D5(b) live-model comparison</x:v>
      </x:c>
      <x:c r="C8" s="54" t="str">
        <x:v>Complete</x:v>
      </x:c>
      <x:c r="D8" s="53" t="str">
        <x:v>None</x:v>
      </x:c>
      <x:c r="E8" s="53" t="str">
        <x:v>Done</x:v>
      </x:c>
      <x:c r="F8" s="53" t="str">
        <x:v>Five model outputs; 60 trials per model; 300 total summarized trials</x:v>
      </x:c>
    </x:row>
    <x:row r="9" ht="20" customHeight="1">
      <x:c r="A9" s="53" t="n">
        <x:v>5</x:v>
      </x:c>
      <x:c r="B9" s="53" t="str">
        <x:v>Three-layer cost to serve</x:v>
      </x:c>
      <x:c r="C9" s="54" t="str">
        <x:v>Complete</x:v>
      </x:c>
      <x:c r="D9" s="53" t="str">
        <x:v>Live accuracy and token use</x:v>
      </x:c>
      <x:c r="E9" s="53" t="str">
        <x:v>Done</x:v>
      </x:c>
      <x:c r="F9" s="53" t="str">
        <x:v>AI + expected fallback + operating cost</x:v>
      </x:c>
    </x:row>
    <x:row r="10" ht="20" customHeight="1">
      <x:c r="A10" s="53" t="n">
        <x:v>6</x:v>
      </x:c>
      <x:c r="B10" s="53" t="str">
        <x:v>Sensitivity and break-even</x:v>
      </x:c>
      <x:c r="C10" s="54" t="str">
        <x:v>Complete</x:v>
      </x:c>
      <x:c r="D10" s="53" t="str">
        <x:v>Selected model</x:v>
      </x:c>
      <x:c r="E10" s="53" t="str">
        <x:v>Done</x:v>
      </x:c>
      <x:c r="F10" s="53" t="str">
        <x:v>Success-rate sensitivity; Qwen V2 vs Luna 79.99% break-even</x:v>
      </x:c>
    </x:row>
    <x:row r="11" ht="20" customHeight="1">
      <x:c r="A11" s="53" t="n">
        <x:v>7</x:v>
      </x:c>
      <x:c r="B11" s="53" t="str">
        <x:v>Section 4 draft and recommendation</x:v>
      </x:c>
      <x:c r="C11" s="54" t="str">
        <x:v>Complete</x:v>
      </x:c>
      <x:c r="D11" s="53" t="str">
        <x:v>D6 outputs</x:v>
      </x:c>
      <x:c r="E11" s="53" t="str">
        <x:v>Done</x:v>
      </x:c>
      <x:c r="F11" s="53" t="str">
        <x:v>Final markdown in delivery folder</x:v>
      </x:c>
    </x:row>
    <x:row r="12" ht="20" customHeight="1">
      <x:c r="A12" s="53" t="n">
        <x:v>8</x:v>
      </x:c>
      <x:c r="B12" s="53" t="str">
        <x:v>Raw-run evidence archive</x:v>
      </x:c>
      <x:c r="C12" s="55" t="str">
        <x:v>Partial</x:v>
      </x:c>
      <x:c r="D12" s="53" t="str">
        <x:v>Model owners</x:v>
      </x:c>
      <x:c r="E12" s="53" t="str">
        <x:v>10-20 min if requested</x:v>
      </x:c>
      <x:c r="F12" s="53" t="str">
        <x:v>GLM has explicit 60-row verification; other three supplied summary outputs</x:v>
      </x:c>
    </x:row>
    <x:row r="13" ht="20" customHeight="1">
      <x:c r="A13" s="53" t="n">
        <x:v>9</x:v>
      </x:c>
      <x:c r="B13" s="53" t="str">
        <x:v>D2(b) Qwen V1 comparison pass</x:v>
      </x:c>
      <x:c r="C13" s="53" t="str">
        <x:v>Complete</x:v>
      </x:c>
      <x:c r="D13" s="53" t="str">
        <x:v>None</x:v>
      </x:c>
      <x:c r="E13" s="53" t="str">
        <x:v>Done</x:v>
      </x:c>
      <x:c r="F13" s="53" t="str">
        <x:v>D2b_results.zip; 60 trials; 5/5 guardrails; see V1 Pass Evidence</x:v>
      </x:c>
    </x:row>
    <x:row r="14" ht="38" customHeight="1">
      <x:c r="A14" s="84" t="str">
        <x:v>Important: the cost model uses complete-record accuracy as P. Correct escalation can still be a pass; P is a coursework proxy for fallback, not a measured human-intervention rate.</x:v>
      </x:c>
      <x:c r="B14" s="84"/>
      <x:c r="C14" s="84"/>
      <x:c r="D14" s="84"/>
      <x:c r="E14" s="84"/>
      <x:c r="F14" s="84"/>
    </x:row>
    <x:row r="15" ht="20" customHeight="1">
      <x:c r="A15" s="104"/>
      <x:c r="B15" s="84"/>
      <x:c r="C15" s="84"/>
      <x:c r="D15" s="84"/>
      <x:c r="E15" s="84"/>
      <x:c r="F15" s="84"/>
    </x:row>
  </x:sheetData>
  <x:mergeCells>
    <x:mergeCell ref="A1:F1"/>
    <x:mergeCell ref="A15:F15"/>
    <x:mergeCell ref="A14:F14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149999618530273"/>
  <x:cols>
    <x:col min="1" max="1" width="32" customWidth="1"/>
    <x:col min="2" max="2" width="8.640625" customWidth="1"/>
    <x:col min="3" max="3" width="14" customWidth="1"/>
    <x:col min="4" max="4" width="15.85546875" customWidth="1"/>
    <x:col min="5" max="5" width="48" customWidth="1"/>
  </x:cols>
  <x:sheetData>
    <x:row r="1" ht="30" customHeight="1">
      <x:c r="A1" s="105" t="s">
        <x:v>0</x:v>
      </x:c>
      <x:c r="B1" s="84"/>
      <x:c r="C1" s="84"/>
      <x:c r="D1" s="84"/>
      <x:c r="E1" s="84"/>
    </x:row>
    <x:row r="2" ht="34" customHeight="1">
      <x:c r="A2" s="103" t="s">
        <x:v>1</x:v>
      </x:c>
      <x:c r="B2" s="84"/>
      <x:c r="C2" s="84"/>
      <x:c r="D2" s="84"/>
      <x:c r="E2" s="84"/>
    </x:row>
    <x:row r="3" ht="14.600000381469727">
      <x:c r="A3" s="84"/>
      <x:c r="B3" s="84"/>
      <x:c r="C3" s="84"/>
      <x:c r="D3" s="84"/>
      <x:c r="E3" s="84"/>
    </x:row>
    <x:row r="4" ht="38.04999923706055" customHeight="1">
      <x:c r="A4" s="106" t="s">
        <x:v>2</x:v>
      </x:c>
      <x:c r="B4" s="106" t="s">
        <x:v>3</x:v>
      </x:c>
      <x:c r="C4" s="106" t="s">
        <x:v>4</x:v>
      </x:c>
      <x:c r="D4" s="106" t="s">
        <x:v>5</x:v>
      </x:c>
      <x:c r="E4" s="106" t="s">
        <x:v>6</x:v>
      </x:c>
    </x:row>
    <x:row r="5" ht="42" customHeight="1">
      <x:c r="A5" s="53" t="s">
        <x:v>7</x:v>
      </x:c>
      <x:c r="B5" s="107" t="n">
        <x:v>38</x:v>
      </x:c>
      <x:c r="C5" s="53" t="s">
        <x:v>8</x:v>
      </x:c>
      <x:c r="D5" s="53" t="s">
        <x:v>9</x:v>
      </x:c>
      <x:c r="E5" s="53" t="s">
        <x:v>10</x:v>
      </x:c>
    </x:row>
    <x:row r="6" ht="42" customHeight="1">
      <x:c r="A6" s="53" t="s">
        <x:v>11</x:v>
      </x:c>
      <x:c r="B6" s="108" t="n">
        <x:v>12</x:v>
      </x:c>
      <x:c r="C6" s="53" t="s">
        <x:v>12</x:v>
      </x:c>
      <x:c r="D6" s="53" t="s">
        <x:v>9</x:v>
      </x:c>
      <x:c r="E6" s="53" t="s">
        <x:v>13</x:v>
      </x:c>
    </x:row>
    <x:row r="7" ht="42" customHeight="1">
      <x:c r="A7" s="53" t="s">
        <x:v>14</x:v>
      </x:c>
      <x:c r="B7" s="109" t="n">
        <x:f>B5*B6/60</x:f>
        <x:v>7.6</x:v>
      </x:c>
      <x:c r="C7" s="53" t="s">
        <x:v>15</x:v>
      </x:c>
      <x:c r="D7" s="53" t="s">
        <x:v>16</x:v>
      </x:c>
      <x:c r="E7" s="53" t="s">
        <x:v>17</x:v>
      </x:c>
    </x:row>
    <x:row r="8" ht="42" customHeight="1">
      <x:c r="A8" s="53" t="s">
        <x:v>18</x:v>
      </x:c>
      <x:c r="B8" s="110" t="n">
        <x:v>8000</x:v>
      </x:c>
      <x:c r="C8" s="53" t="s">
        <x:v>19</x:v>
      </x:c>
      <x:c r="D8" s="53" t="s">
        <x:v>9</x:v>
      </x:c>
      <x:c r="E8" s="53" t="s">
        <x:v>20</x:v>
      </x:c>
    </x:row>
    <x:row r="9" ht="42" customHeight="1">
      <x:c r="A9" s="53" t="s">
        <x:v>21</x:v>
      </x:c>
      <x:c r="B9" s="111" t="n">
        <x:v>0.8</x:v>
      </x:c>
      <x:c r="C9" s="53" t="s">
        <x:v>22</x:v>
      </x:c>
      <x:c r="D9" s="53" t="str">
        <x:v>Measured D5(b)</x:v>
      </x:c>
      <x:c r="E9" s="53" t="str">
        <x:v>Selected model: openai/gpt-5.6-luna; complete-record accuracy 48/60 = 80.0%</x:v>
      </x:c>
    </x:row>
    <x:row r="10" ht="42" customHeight="1">
      <x:c r="A10" s="53" t="s">
        <x:v>23</x:v>
      </x:c>
      <x:c r="B10" s="112" t="n">
        <x:v>0.002160236</x:v>
      </x:c>
      <x:c r="C10" s="53" t="s">
        <x:v>24</x:v>
      </x:c>
      <x:c r="D10" s="53" t="str">
        <x:v>Calculated from measured tokens</x:v>
      </x:c>
      <x:c r="E10" s="53" t="str">
        <x:v>7,664.2 input × $0.20/M + 522.83 output × $1.20/M; OpenRouter listed prices checked 2026-09-15</x:v>
      </x:c>
    </x:row>
    <x:row r="11" ht="42" customHeight="1">
      <x:c r="A11" s="53" t="s">
        <x:v>25</x:v>
      </x:c>
      <x:c r="B11" s="113" t="n">
        <x:v>0</x:v>
      </x:c>
      <x:c r="C11" s="53" t="s">
        <x:v>26</x:v>
      </x:c>
      <x:c r="D11" s="53" t="str">
        <x:v>Documented assumption</x:v>
      </x:c>
      <x:c r="E11" s="53" t="str">
        <x:v>No quantified infrastructure cost is supplied; use zero and state this limitation.</x:v>
      </x:c>
    </x:row>
    <x:row r="12" ht="42" customHeight="1">
      <x:c r="A12" s="53" t="s">
        <x:v>27</x:v>
      </x:c>
      <x:c r="B12" s="114" t="n">
        <x:v>0.1</x:v>
      </x:c>
      <x:c r="C12" s="53" t="s">
        <x:v>28</x:v>
      </x:c>
      <x:c r="D12" s="53" t="str">
        <x:v>Working sensitivity</x:v>
      </x:c>
      <x:c r="E12" s="53" t="str">
        <x:v>Low/base/high success-rate scenarios use minus/plus 10 percentage points.</x:v>
      </x:c>
    </x:row>
    <x:row r="13" ht="42" customHeight="1">
      <x:c r="A13" s="53" t="s">
        <x:v>29</x:v>
      </x:c>
      <x:c r="B13" s="107" t="n">
        <x:v>7.6</x:v>
      </x:c>
      <x:c r="C13" s="53" t="s">
        <x:v>26</x:v>
      </x:c>
      <x:c r="D13" s="53" t="str">
        <x:v>Coursework baseline</x:v>
      </x:c>
      <x:c r="E13" s="53" t="str">
        <x:v>Assume a fully manual claim uses one 12-minute assessor handling: $38 x 12/60 = $7.60 per claim.</x:v>
      </x:c>
    </x:row>
    <x:row r="14" ht="42" customHeight="1">
      <x:c r="A14" s="53" t="s">
        <x:v>30</x:v>
      </x:c>
      <x:c r="B14" s="115" t="str">
        <x:v>USD</x:v>
      </x:c>
      <x:c r="C14" s="53" t="s">
        <x:v>31</x:v>
      </x:c>
      <x:c r="D14" s="53" t="s">
        <x:v>32</x:v>
      </x:c>
      <x:c r="E14" s="53" t="s">
        <x:v>33</x:v>
      </x:c>
    </x:row>
    <x:row r="15">
      <x:c r="A15" s="84"/>
      <x:c r="B15" s="84"/>
      <x:c r="C15" s="84"/>
      <x:c r="D15" s="84"/>
      <x:c r="E15" s="84"/>
    </x:row>
    <x:row r="16" ht="65.05000305175781" customHeight="1">
      <x:c r="A16" s="84" t="s">
        <x:v>34</x:v>
      </x:c>
      <x:c r="B16" s="84"/>
      <x:c r="C16" s="84"/>
      <x:c r="D16" s="84"/>
      <x:c r="E16" s="84"/>
    </x:row>
  </x:sheetData>
  <x:mergeCells>
    <x:mergeCell ref="A1:E1"/>
    <x:mergeCell ref="A2:E2"/>
    <x:mergeCell ref="A16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4.149999618530273"/>
  <x:cols>
    <x:col min="1" max="30" width="14" customWidth="1"/>
    <x:col min="31" max="32" width="28" customWidth="1"/>
  </x:cols>
  <x:sheetData>
    <x:row r="1" ht="30" customHeight="1">
      <x:c r="A1" s="25" t="s">
        <x:v>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  <x:c r="AF1" s="26"/>
    </x:row>
    <x:row r="2" ht="34" customHeight="1">
      <x:c r="A2" s="22" t="str">
        <x:v>One row per live D5(b) run. Paste validated provider-reported results only; include failed runs. Scripted summaries stay on Model Summary and must not be mixed into live averages.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</x:row>
    <x:row r="3" ht="14.600000381469727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</x:row>
    <x:row r="4" ht="48" customHeight="1">
      <x:c r="A4" s="2" t="s">
        <x:v>36</x:v>
      </x:c>
      <x:c r="B4" s="2" t="s">
        <x:v>37</x:v>
      </x:c>
      <x:c r="C4" s="2" t="s">
        <x:v>38</x:v>
      </x:c>
      <x:c r="D4" s="2" t="s">
        <x:v>39</x:v>
      </x:c>
      <x:c r="E4" s="2" t="s">
        <x:v>40</x:v>
      </x:c>
      <x:c r="F4" s="2" t="s">
        <x:v>41</x:v>
      </x:c>
      <x:c r="G4" s="2" t="s">
        <x:v>42</x:v>
      </x:c>
      <x:c r="H4" s="2" t="s">
        <x:v>43</x:v>
      </x:c>
      <x:c r="I4" s="2" t="s">
        <x:v>44</x:v>
      </x:c>
      <x:c r="J4" s="2" t="s">
        <x:v>45</x:v>
      </x:c>
      <x:c r="K4" s="2" t="s">
        <x:v>46</x:v>
      </x:c>
      <x:c r="L4" s="2" t="s">
        <x:v>47</x:v>
      </x:c>
      <x:c r="M4" s="2" t="s">
        <x:v>48</x:v>
      </x:c>
      <x:c r="N4" s="2" t="s">
        <x:v>49</x:v>
      </x:c>
      <x:c r="O4" s="2" t="s">
        <x:v>50</x:v>
      </x:c>
      <x:c r="P4" s="2" t="s">
        <x:v>51</x:v>
      </x:c>
      <x:c r="Q4" s="2" t="s">
        <x:v>52</x:v>
      </x:c>
      <x:c r="R4" s="2" t="s">
        <x:v>53</x:v>
      </x:c>
      <x:c r="S4" s="2" t="s">
        <x:v>54</x:v>
      </x:c>
      <x:c r="T4" s="2" t="s">
        <x:v>55</x:v>
      </x:c>
      <x:c r="U4" s="2" t="s">
        <x:v>56</x:v>
      </x:c>
      <x:c r="V4" s="2" t="s">
        <x:v>57</x:v>
      </x:c>
      <x:c r="W4" s="2" t="s">
        <x:v>58</x:v>
      </x:c>
      <x:c r="X4" s="2" t="s">
        <x:v>59</x:v>
      </x:c>
      <x:c r="Y4" s="2" t="s">
        <x:v>60</x:v>
      </x:c>
      <x:c r="Z4" s="2" t="s">
        <x:v>61</x:v>
      </x:c>
      <x:c r="AA4" s="2" t="s">
        <x:v>62</x:v>
      </x:c>
      <x:c r="AB4" s="2" t="s">
        <x:v>63</x:v>
      </x:c>
      <x:c r="AC4" s="2" t="s">
        <x:v>64</x:v>
      </x:c>
      <x:c r="AD4" s="2" t="s">
        <x:v>65</x:v>
      </x:c>
      <x:c r="AE4" s="2" t="s">
        <x:v>66</x:v>
      </x:c>
      <x:c r="AF4" s="2" t="s">
        <x:v>67</x:v>
      </x:c>
    </x:row>
    <x:row r="5" ht="29.149999618530273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4" t="str">
        <x:f t="shared" ref="U5:U33" si="0">IF(OR(S5="",T5=""),"",S5+T5)</x:f>
      </x:c>
      <x:c r="V5" s="3"/>
      <x:c r="W5" s="3"/>
      <x:c r="X5" s="3"/>
      <x:c r="Y5" s="6" t="str">
        <x:f t="shared" ref="Y5:Y33" si="1">IF(OR(S5="",T5="",W5="",X5=""),"",IF(MIN(S5,T5,W5,X5)&lt;0,"Invalid input",(S5*W5+T5*X5)/1000000))</x:f>
      </x:c>
      <x:c r="Z5" s="7"/>
      <x:c r="AA5" s="6"/>
      <x:c r="AB5" s="5"/>
      <x:c r="AC5" s="6" t="str">
        <x:f t="shared" ref="AC5:AC33" si="2">IF(OR(Y5="",AA5="",AB5=""),"",IF(AND(ISNUMBER(Y5),ISNUMBER(AA5),AB5&gt;=0),Y5+AA5+AB5,"Invalid input"))</x:f>
      </x:c>
      <x:c r="AD5" s="8"/>
      <x:c r="AE5" s="3"/>
      <x:c r="AF5" s="3"/>
    </x:row>
    <x:row r="6" ht="29.149999618530273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4">
        <x:f t="shared" si="0"/>
        <x:v>5974</x:v>
      </x:c>
      <x:c r="V6" s="3"/>
      <x:c r="W6" s="3"/>
      <x:c r="X6" s="3"/>
      <x:c r="Y6" s="6">
        <x:f t="shared" si="1"/>
        <x:v>7.1620000000000006E-4</x:v>
      </x:c>
      <x:c r="Z6" s="7"/>
      <x:c r="AA6" s="6"/>
      <x:c r="AB6" s="5"/>
      <x:c r="AC6" s="6" t="str">
        <x:f t="shared" si="2"/>
      </x:c>
      <x:c r="AD6" s="8"/>
      <x:c r="AE6" s="3"/>
      <x:c r="AF6" s="3"/>
    </x:row>
    <x:row r="7" ht="14.60000038146972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4" t="str">
        <x:f t="shared" si="0"/>
      </x:c>
      <x:c r="V7" s="3"/>
      <x:c r="W7" s="5"/>
      <x:c r="X7" s="5"/>
      <x:c r="Y7" s="6" t="str">
        <x:f t="shared" si="1"/>
      </x:c>
      <x:c r="Z7" s="7"/>
      <x:c r="AA7" s="6" t="str">
        <x:f>IF(Z7="","",IF(OR(Z7&lt;0,Z7&gt;1),"Invalid rate",(1-Z7)*Assumptions!$B$7))</x:f>
      </x:c>
      <x:c r="AB7" s="5"/>
      <x:c r="AC7" s="6" t="str">
        <x:f t="shared" si="2"/>
      </x:c>
      <x:c r="AD7" s="8"/>
      <x:c r="AE7" s="3"/>
      <x:c r="AF7" s="3"/>
    </x:row>
    <x:row r="8" ht="14.600000381469727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4" t="str">
        <x:f t="shared" si="0"/>
      </x:c>
      <x:c r="V8" s="3"/>
      <x:c r="W8" s="5"/>
      <x:c r="X8" s="5"/>
      <x:c r="Y8" s="6" t="str">
        <x:f t="shared" si="1"/>
      </x:c>
      <x:c r="Z8" s="7"/>
      <x:c r="AA8" s="6" t="str">
        <x:f>IF(Z8="","",IF(OR(Z8&lt;0,Z8&gt;1),"Invalid rate",(1-Z8)*Assumptions!$B$7))</x:f>
      </x:c>
      <x:c r="AB8" s="5"/>
      <x:c r="AC8" s="6" t="str">
        <x:f t="shared" si="2"/>
      </x:c>
      <x:c r="AD8" s="8"/>
      <x:c r="AE8" s="3"/>
      <x:c r="AF8" s="3"/>
    </x:row>
    <x:row r="9" ht="14.600000381469727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4" t="str">
        <x:f t="shared" si="0"/>
      </x:c>
      <x:c r="V9" s="3"/>
      <x:c r="W9" s="5"/>
      <x:c r="X9" s="5"/>
      <x:c r="Y9" s="6" t="str">
        <x:f t="shared" si="1"/>
      </x:c>
      <x:c r="Z9" s="7"/>
      <x:c r="AA9" s="6" t="str">
        <x:f>IF(Z9="","",IF(OR(Z9&lt;0,Z9&gt;1),"Invalid rate",(1-Z9)*Assumptions!$B$7))</x:f>
      </x:c>
      <x:c r="AB9" s="5"/>
      <x:c r="AC9" s="6" t="str">
        <x:f t="shared" si="2"/>
      </x:c>
      <x:c r="AD9" s="8"/>
      <x:c r="AE9" s="3"/>
      <x:c r="AF9" s="3"/>
    </x:row>
    <x:row r="10" ht="14.600000381469727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4" t="str">
        <x:f t="shared" si="0"/>
      </x:c>
      <x:c r="V10" s="3"/>
      <x:c r="W10" s="5"/>
      <x:c r="X10" s="5"/>
      <x:c r="Y10" s="6" t="str">
        <x:f t="shared" si="1"/>
      </x:c>
      <x:c r="Z10" s="7"/>
      <x:c r="AA10" s="6" t="str">
        <x:f>IF(Z10="","",IF(OR(Z10&lt;0,Z10&gt;1),"Invalid rate",(1-Z10)*Assumptions!$B$7))</x:f>
      </x:c>
      <x:c r="AB10" s="5"/>
      <x:c r="AC10" s="6" t="str">
        <x:f t="shared" si="2"/>
      </x:c>
      <x:c r="AD10" s="8"/>
      <x:c r="AE10" s="3"/>
      <x:c r="AF10" s="3"/>
    </x:row>
    <x:row r="11" ht="14.600000381469727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4" t="str">
        <x:f t="shared" si="0"/>
      </x:c>
      <x:c r="V11" s="3"/>
      <x:c r="W11" s="5"/>
      <x:c r="X11" s="5"/>
      <x:c r="Y11" s="6" t="str">
        <x:f t="shared" si="1"/>
      </x:c>
      <x:c r="Z11" s="7"/>
      <x:c r="AA11" s="6" t="str">
        <x:f>IF(Z11="","",IF(OR(Z11&lt;0,Z11&gt;1),"Invalid rate",(1-Z11)*Assumptions!$B$7))</x:f>
      </x:c>
      <x:c r="AB11" s="5"/>
      <x:c r="AC11" s="6" t="str">
        <x:f t="shared" si="2"/>
      </x:c>
      <x:c r="AD11" s="8"/>
      <x:c r="AE11" s="3"/>
      <x:c r="AF11" s="3"/>
    </x:row>
    <x:row r="12" ht="14.600000381469727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4" t="str">
        <x:f t="shared" si="0"/>
      </x:c>
      <x:c r="V12" s="3"/>
      <x:c r="W12" s="5"/>
      <x:c r="X12" s="5"/>
      <x:c r="Y12" s="6" t="str">
        <x:f t="shared" si="1"/>
      </x:c>
      <x:c r="Z12" s="7"/>
      <x:c r="AA12" s="6" t="str">
        <x:f>IF(Z12="","",IF(OR(Z12&lt;0,Z12&gt;1),"Invalid rate",(1-Z12)*Assumptions!$B$7))</x:f>
      </x:c>
      <x:c r="AB12" s="5"/>
      <x:c r="AC12" s="6" t="str">
        <x:f t="shared" si="2"/>
      </x:c>
      <x:c r="AD12" s="8"/>
      <x:c r="AE12" s="3"/>
      <x:c r="AF12" s="3"/>
    </x:row>
    <x:row r="13" ht="14.600000381469727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4" t="str">
        <x:f t="shared" si="0"/>
      </x:c>
      <x:c r="V13" s="3"/>
      <x:c r="W13" s="5"/>
      <x:c r="X13" s="5"/>
      <x:c r="Y13" s="6" t="str">
        <x:f t="shared" si="1"/>
      </x:c>
      <x:c r="Z13" s="7"/>
      <x:c r="AA13" s="6" t="str">
        <x:f>IF(Z13="","",IF(OR(Z13&lt;0,Z13&gt;1),"Invalid rate",(1-Z13)*Assumptions!$B$7))</x:f>
      </x:c>
      <x:c r="AB13" s="5"/>
      <x:c r="AC13" s="6" t="str">
        <x:f t="shared" si="2"/>
      </x:c>
      <x:c r="AD13" s="8"/>
      <x:c r="AE13" s="3"/>
      <x:c r="AF13" s="3"/>
    </x:row>
    <x:row r="14" ht="14.600000381469727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4" t="str">
        <x:f t="shared" si="0"/>
      </x:c>
      <x:c r="V14" s="3"/>
      <x:c r="W14" s="5"/>
      <x:c r="X14" s="5"/>
      <x:c r="Y14" s="6" t="str">
        <x:f t="shared" si="1"/>
      </x:c>
      <x:c r="Z14" s="7"/>
      <x:c r="AA14" s="6" t="str">
        <x:f>IF(Z14="","",IF(OR(Z14&lt;0,Z14&gt;1),"Invalid rate",(1-Z14)*Assumptions!$B$7))</x:f>
      </x:c>
      <x:c r="AB14" s="5"/>
      <x:c r="AC14" s="6" t="str">
        <x:f t="shared" si="2"/>
      </x:c>
      <x:c r="AD14" s="8"/>
      <x:c r="AE14" s="3"/>
      <x:c r="AF14" s="3"/>
    </x:row>
    <x:row r="15" ht="14.600000381469727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4" t="str">
        <x:f t="shared" si="0"/>
      </x:c>
      <x:c r="V15" s="3"/>
      <x:c r="W15" s="5"/>
      <x:c r="X15" s="5"/>
      <x:c r="Y15" s="6" t="str">
        <x:f t="shared" si="1"/>
      </x:c>
      <x:c r="Z15" s="7"/>
      <x:c r="AA15" s="6" t="str">
        <x:f>IF(Z15="","",IF(OR(Z15&lt;0,Z15&gt;1),"Invalid rate",(1-Z15)*Assumptions!$B$7))</x:f>
      </x:c>
      <x:c r="AB15" s="5"/>
      <x:c r="AC15" s="6" t="str">
        <x:f t="shared" si="2"/>
      </x:c>
      <x:c r="AD15" s="8"/>
      <x:c r="AE15" s="3"/>
      <x:c r="AF15" s="3"/>
    </x:row>
    <x:row r="16" ht="14.600000381469727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4" t="str">
        <x:f t="shared" si="0"/>
      </x:c>
      <x:c r="V16" s="3"/>
      <x:c r="W16" s="5"/>
      <x:c r="X16" s="5"/>
      <x:c r="Y16" s="6" t="str">
        <x:f t="shared" si="1"/>
      </x:c>
      <x:c r="Z16" s="7"/>
      <x:c r="AA16" s="6" t="str">
        <x:f>IF(Z16="","",IF(OR(Z16&lt;0,Z16&gt;1),"Invalid rate",(1-Z16)*Assumptions!$B$7))</x:f>
      </x:c>
      <x:c r="AB16" s="5"/>
      <x:c r="AC16" s="6" t="str">
        <x:f t="shared" si="2"/>
      </x:c>
      <x:c r="AD16" s="8"/>
      <x:c r="AE16" s="3"/>
      <x:c r="AF16" s="3"/>
    </x:row>
    <x:row r="17" ht="14.60000038146972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4" t="str">
        <x:f t="shared" si="0"/>
      </x:c>
      <x:c r="V17" s="3"/>
      <x:c r="W17" s="5"/>
      <x:c r="X17" s="5"/>
      <x:c r="Y17" s="6" t="str">
        <x:f t="shared" si="1"/>
      </x:c>
      <x:c r="Z17" s="7"/>
      <x:c r="AA17" s="6" t="str">
        <x:f>IF(Z17="","",IF(OR(Z17&lt;0,Z17&gt;1),"Invalid rate",(1-Z17)*Assumptions!$B$7))</x:f>
      </x:c>
      <x:c r="AB17" s="5"/>
      <x:c r="AC17" s="6" t="str">
        <x:f t="shared" si="2"/>
      </x:c>
      <x:c r="AD17" s="8"/>
      <x:c r="AE17" s="3"/>
      <x:c r="AF17" s="3"/>
    </x:row>
    <x:row r="18" ht="14.600000381469727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4" t="str">
        <x:f t="shared" si="0"/>
      </x:c>
      <x:c r="V18" s="3"/>
      <x:c r="W18" s="5"/>
      <x:c r="X18" s="5"/>
      <x:c r="Y18" s="6" t="str">
        <x:f t="shared" si="1"/>
      </x:c>
      <x:c r="Z18" s="7"/>
      <x:c r="AA18" s="6" t="str">
        <x:f>IF(Z18="","",IF(OR(Z18&lt;0,Z18&gt;1),"Invalid rate",(1-Z18)*Assumptions!$B$7))</x:f>
      </x:c>
      <x:c r="AB18" s="5"/>
      <x:c r="AC18" s="6" t="str">
        <x:f t="shared" si="2"/>
      </x:c>
      <x:c r="AD18" s="8"/>
      <x:c r="AE18" s="3"/>
      <x:c r="AF18" s="3"/>
    </x:row>
    <x:row r="19" ht="14.600000381469727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4" t="str">
        <x:f t="shared" si="0"/>
      </x:c>
      <x:c r="V19" s="3"/>
      <x:c r="W19" s="5"/>
      <x:c r="X19" s="5"/>
      <x:c r="Y19" s="6" t="str">
        <x:f t="shared" si="1"/>
      </x:c>
      <x:c r="Z19" s="7"/>
      <x:c r="AA19" s="6" t="str">
        <x:f>IF(Z19="","",IF(OR(Z19&lt;0,Z19&gt;1),"Invalid rate",(1-Z19)*Assumptions!$B$7))</x:f>
      </x:c>
      <x:c r="AB19" s="5"/>
      <x:c r="AC19" s="6" t="str">
        <x:f t="shared" si="2"/>
      </x:c>
      <x:c r="AD19" s="8"/>
      <x:c r="AE19" s="3"/>
      <x:c r="AF19" s="3"/>
    </x:row>
    <x:row r="20" ht="14.600000381469727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4" t="str">
        <x:f t="shared" si="0"/>
      </x:c>
      <x:c r="V20" s="3"/>
      <x:c r="W20" s="5"/>
      <x:c r="X20" s="5"/>
      <x:c r="Y20" s="6" t="str">
        <x:f t="shared" si="1"/>
      </x:c>
      <x:c r="Z20" s="7"/>
      <x:c r="AA20" s="6" t="str">
        <x:f>IF(Z20="","",IF(OR(Z20&lt;0,Z20&gt;1),"Invalid rate",(1-Z20)*Assumptions!$B$7))</x:f>
      </x:c>
      <x:c r="AB20" s="5"/>
      <x:c r="AC20" s="6" t="str">
        <x:f t="shared" si="2"/>
      </x:c>
      <x:c r="AD20" s="8"/>
      <x:c r="AE20" s="3"/>
      <x:c r="AF20" s="3"/>
    </x:row>
    <x:row r="21" ht="14.600000381469727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4" t="str">
        <x:f t="shared" si="0"/>
      </x:c>
      <x:c r="V21" s="3"/>
      <x:c r="W21" s="5"/>
      <x:c r="X21" s="5"/>
      <x:c r="Y21" s="6" t="str">
        <x:f t="shared" si="1"/>
      </x:c>
      <x:c r="Z21" s="7"/>
      <x:c r="AA21" s="6" t="str">
        <x:f>IF(Z21="","",IF(OR(Z21&lt;0,Z21&gt;1),"Invalid rate",(1-Z21)*Assumptions!$B$7))</x:f>
      </x:c>
      <x:c r="AB21" s="5"/>
      <x:c r="AC21" s="6" t="str">
        <x:f t="shared" si="2"/>
      </x:c>
      <x:c r="AD21" s="8"/>
      <x:c r="AE21" s="3"/>
      <x:c r="AF21" s="3"/>
    </x:row>
    <x:row r="22" ht="14.600000381469727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4" t="str">
        <x:f t="shared" si="0"/>
      </x:c>
      <x:c r="V22" s="3"/>
      <x:c r="W22" s="5"/>
      <x:c r="X22" s="5"/>
      <x:c r="Y22" s="6" t="str">
        <x:f t="shared" si="1"/>
      </x:c>
      <x:c r="Z22" s="7"/>
      <x:c r="AA22" s="6" t="str">
        <x:f>IF(Z22="","",IF(OR(Z22&lt;0,Z22&gt;1),"Invalid rate",(1-Z22)*Assumptions!$B$7))</x:f>
      </x:c>
      <x:c r="AB22" s="5"/>
      <x:c r="AC22" s="6" t="str">
        <x:f t="shared" si="2"/>
      </x:c>
      <x:c r="AD22" s="8"/>
      <x:c r="AE22" s="3"/>
      <x:c r="AF22" s="3"/>
    </x:row>
    <x:row r="23" ht="14.600000381469727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4" t="str">
        <x:f t="shared" si="0"/>
      </x:c>
      <x:c r="V23" s="3"/>
      <x:c r="W23" s="5"/>
      <x:c r="X23" s="5"/>
      <x:c r="Y23" s="6" t="str">
        <x:f t="shared" si="1"/>
      </x:c>
      <x:c r="Z23" s="7"/>
      <x:c r="AA23" s="6" t="str">
        <x:f>IF(Z23="","",IF(OR(Z23&lt;0,Z23&gt;1),"Invalid rate",(1-Z23)*Assumptions!$B$7))</x:f>
      </x:c>
      <x:c r="AB23" s="5"/>
      <x:c r="AC23" s="6" t="str">
        <x:f t="shared" si="2"/>
      </x:c>
      <x:c r="AD23" s="8"/>
      <x:c r="AE23" s="3"/>
      <x:c r="AF23" s="3"/>
    </x:row>
    <x:row r="24" ht="14.600000381469727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4" t="str">
        <x:f t="shared" si="0"/>
      </x:c>
      <x:c r="V24" s="3"/>
      <x:c r="W24" s="5"/>
      <x:c r="X24" s="5"/>
      <x:c r="Y24" s="6" t="str">
        <x:f t="shared" si="1"/>
      </x:c>
      <x:c r="Z24" s="7"/>
      <x:c r="AA24" s="6" t="str">
        <x:f>IF(Z24="","",IF(OR(Z24&lt;0,Z24&gt;1),"Invalid rate",(1-Z24)*Assumptions!$B$7))</x:f>
      </x:c>
      <x:c r="AB24" s="5"/>
      <x:c r="AC24" s="6" t="str">
        <x:f t="shared" si="2"/>
      </x:c>
      <x:c r="AD24" s="8"/>
      <x:c r="AE24" s="3"/>
      <x:c r="AF24" s="3"/>
    </x:row>
    <x:row r="25" ht="14.600000381469727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4" t="str">
        <x:f t="shared" si="0"/>
      </x:c>
      <x:c r="V25" s="3"/>
      <x:c r="W25" s="5"/>
      <x:c r="X25" s="5"/>
      <x:c r="Y25" s="6" t="str">
        <x:f t="shared" si="1"/>
      </x:c>
      <x:c r="Z25" s="7"/>
      <x:c r="AA25" s="6" t="str">
        <x:f>IF(Z25="","",IF(OR(Z25&lt;0,Z25&gt;1),"Invalid rate",(1-Z25)*Assumptions!$B$7))</x:f>
      </x:c>
      <x:c r="AB25" s="5"/>
      <x:c r="AC25" s="6" t="str">
        <x:f t="shared" si="2"/>
      </x:c>
      <x:c r="AD25" s="8"/>
      <x:c r="AE25" s="3"/>
      <x:c r="AF25" s="3"/>
    </x:row>
    <x:row r="26" ht="14.600000381469727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4" t="str">
        <x:f t="shared" si="0"/>
      </x:c>
      <x:c r="V26" s="3"/>
      <x:c r="W26" s="5"/>
      <x:c r="X26" s="5"/>
      <x:c r="Y26" s="6" t="str">
        <x:f t="shared" si="1"/>
      </x:c>
      <x:c r="Z26" s="7"/>
      <x:c r="AA26" s="6" t="str">
        <x:f>IF(Z26="","",IF(OR(Z26&lt;0,Z26&gt;1),"Invalid rate",(1-Z26)*Assumptions!$B$7))</x:f>
      </x:c>
      <x:c r="AB26" s="5"/>
      <x:c r="AC26" s="6" t="str">
        <x:f t="shared" si="2"/>
      </x:c>
      <x:c r="AD26" s="8"/>
      <x:c r="AE26" s="3"/>
      <x:c r="AF26" s="3"/>
    </x:row>
    <x:row r="27" ht="14.6000003814697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4" t="str">
        <x:f t="shared" si="0"/>
      </x:c>
      <x:c r="V27" s="3"/>
      <x:c r="W27" s="5"/>
      <x:c r="X27" s="5"/>
      <x:c r="Y27" s="6" t="str">
        <x:f t="shared" si="1"/>
      </x:c>
      <x:c r="Z27" s="7"/>
      <x:c r="AA27" s="6" t="str">
        <x:f>IF(Z27="","",IF(OR(Z27&lt;0,Z27&gt;1),"Invalid rate",(1-Z27)*Assumptions!$B$7))</x:f>
      </x:c>
      <x:c r="AB27" s="5"/>
      <x:c r="AC27" s="6" t="str">
        <x:f t="shared" si="2"/>
      </x:c>
      <x:c r="AD27" s="8"/>
      <x:c r="AE27" s="3"/>
      <x:c r="AF27" s="3"/>
    </x:row>
    <x:row r="28" ht="14.600000381469727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4" t="str">
        <x:f t="shared" si="0"/>
      </x:c>
      <x:c r="V28" s="3"/>
      <x:c r="W28" s="5"/>
      <x:c r="X28" s="5"/>
      <x:c r="Y28" s="6" t="str">
        <x:f t="shared" si="1"/>
      </x:c>
      <x:c r="Z28" s="7"/>
      <x:c r="AA28" s="6" t="str">
        <x:f>IF(Z28="","",IF(OR(Z28&lt;0,Z28&gt;1),"Invalid rate",(1-Z28)*Assumptions!$B$7))</x:f>
      </x:c>
      <x:c r="AB28" s="5"/>
      <x:c r="AC28" s="6" t="str">
        <x:f t="shared" si="2"/>
      </x:c>
      <x:c r="AD28" s="8"/>
      <x:c r="AE28" s="3"/>
      <x:c r="AF28" s="3"/>
    </x:row>
    <x:row r="29" ht="14.600000381469727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4" t="str">
        <x:f t="shared" si="0"/>
      </x:c>
      <x:c r="V29" s="3"/>
      <x:c r="W29" s="5"/>
      <x:c r="X29" s="5"/>
      <x:c r="Y29" s="6" t="str">
        <x:f t="shared" si="1"/>
      </x:c>
      <x:c r="Z29" s="7"/>
      <x:c r="AA29" s="6" t="str">
        <x:f>IF(Z29="","",IF(OR(Z29&lt;0,Z29&gt;1),"Invalid rate",(1-Z29)*Assumptions!$B$7))</x:f>
      </x:c>
      <x:c r="AB29" s="5"/>
      <x:c r="AC29" s="6" t="str">
        <x:f t="shared" si="2"/>
      </x:c>
      <x:c r="AD29" s="8"/>
      <x:c r="AE29" s="3"/>
      <x:c r="AF29" s="3"/>
    </x:row>
    <x:row r="30" ht="14.600000381469727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4" t="str">
        <x:f t="shared" si="0"/>
      </x:c>
      <x:c r="V30" s="3"/>
      <x:c r="W30" s="5"/>
      <x:c r="X30" s="5"/>
      <x:c r="Y30" s="6" t="str">
        <x:f t="shared" si="1"/>
      </x:c>
      <x:c r="Z30" s="7"/>
      <x:c r="AA30" s="6" t="str">
        <x:f>IF(Z30="","",IF(OR(Z30&lt;0,Z30&gt;1),"Invalid rate",(1-Z30)*Assumptions!$B$7))</x:f>
      </x:c>
      <x:c r="AB30" s="5"/>
      <x:c r="AC30" s="6" t="str">
        <x:f t="shared" si="2"/>
      </x:c>
      <x:c r="AD30" s="8"/>
      <x:c r="AE30" s="3"/>
      <x:c r="AF30" s="3"/>
    </x:row>
    <x:row r="31" ht="14.600000381469727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4" t="str">
        <x:f t="shared" si="0"/>
      </x:c>
      <x:c r="V31" s="3"/>
      <x:c r="W31" s="5"/>
      <x:c r="X31" s="5"/>
      <x:c r="Y31" s="6" t="str">
        <x:f t="shared" si="1"/>
      </x:c>
      <x:c r="Z31" s="7"/>
      <x:c r="AA31" s="6" t="str">
        <x:f>IF(Z31="","",IF(OR(Z31&lt;0,Z31&gt;1),"Invalid rate",(1-Z31)*Assumptions!$B$7))</x:f>
      </x:c>
      <x:c r="AB31" s="5"/>
      <x:c r="AC31" s="6" t="str">
        <x:f t="shared" si="2"/>
      </x:c>
      <x:c r="AD31" s="8"/>
      <x:c r="AE31" s="3"/>
      <x:c r="AF31" s="3"/>
    </x:row>
    <x:row r="32" ht="14.600000381469727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4" t="str">
        <x:f t="shared" si="0"/>
      </x:c>
      <x:c r="V32" s="3"/>
      <x:c r="W32" s="5"/>
      <x:c r="X32" s="5"/>
      <x:c r="Y32" s="6" t="str">
        <x:f t="shared" si="1"/>
      </x:c>
      <x:c r="Z32" s="7"/>
      <x:c r="AA32" s="6" t="str">
        <x:f>IF(Z32="","",IF(OR(Z32&lt;0,Z32&gt;1),"Invalid rate",(1-Z32)*Assumptions!$B$7))</x:f>
      </x:c>
      <x:c r="AB32" s="5"/>
      <x:c r="AC32" s="6" t="str">
        <x:f t="shared" si="2"/>
      </x:c>
      <x:c r="AD32" s="8"/>
      <x:c r="AE32" s="3"/>
      <x:c r="AF32" s="3"/>
    </x:row>
    <x:row r="33" ht="14.600000381469727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4" t="str">
        <x:f t="shared" si="0"/>
      </x:c>
      <x:c r="V33" s="3"/>
      <x:c r="W33" s="5"/>
      <x:c r="X33" s="5"/>
      <x:c r="Y33" s="6" t="str">
        <x:f t="shared" si="1"/>
      </x:c>
      <x:c r="Z33" s="7"/>
      <x:c r="AA33" s="6" t="str">
        <x:f>IF(Z33="","",IF(OR(Z33&lt;0,Z33&gt;1),"Invalid rate",(1-Z33)*Assumptions!$B$7))</x:f>
      </x:c>
      <x:c r="AB33" s="5"/>
      <x:c r="AC33" s="6" t="str">
        <x:f t="shared" si="2"/>
      </x:c>
      <x:c r="AD33" s="8"/>
      <x:c r="AE33" s="3"/>
      <x:c r="AF33" s="3"/>
    </x:row>
    <x:row r="34" ht="14.600000381469727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4" t="str">
        <x:f t="shared" ref="U34:U65" si="3">IF(OR(S34="",T34=""),"",S34+T34)</x:f>
      </x:c>
      <x:c r="V34" s="3"/>
      <x:c r="W34" s="5"/>
      <x:c r="X34" s="5"/>
      <x:c r="Y34" s="6" t="str">
        <x:f t="shared" ref="Y34:Y65" si="4">IF(OR(S34="",T34="",W34="",X34=""),"",IF(MIN(S34,T34,W34,X34)&lt;0,"Invalid input",(S34*W34+T34*X34)/1000000))</x:f>
      </x:c>
      <x:c r="Z34" s="7"/>
      <x:c r="AA34" s="6" t="str">
        <x:f>IF(Z34="","",IF(OR(Z34&lt;0,Z34&gt;1),"Invalid rate",(1-Z34)*Assumptions!$B$7))</x:f>
      </x:c>
      <x:c r="AB34" s="5"/>
      <x:c r="AC34" s="6" t="str">
        <x:f t="shared" ref="AC34:AC65" si="5">IF(OR(Y34="",AA34="",AB34=""),"",IF(AND(ISNUMBER(Y34),ISNUMBER(AA34),AB34&gt;=0),Y34+AA34+AB34,"Invalid input"))</x:f>
      </x:c>
      <x:c r="AD34" s="8"/>
      <x:c r="AE34" s="3"/>
      <x:c r="AF34" s="3"/>
    </x:row>
    <x:row r="35" ht="14.600000381469727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4" t="str">
        <x:f t="shared" si="3"/>
      </x:c>
      <x:c r="V35" s="3"/>
      <x:c r="W35" s="5"/>
      <x:c r="X35" s="5"/>
      <x:c r="Y35" s="6" t="str">
        <x:f t="shared" si="4"/>
      </x:c>
      <x:c r="Z35" s="7"/>
      <x:c r="AA35" s="6" t="str">
        <x:f>IF(Z35="","",IF(OR(Z35&lt;0,Z35&gt;1),"Invalid rate",(1-Z35)*Assumptions!$B$7))</x:f>
      </x:c>
      <x:c r="AB35" s="5"/>
      <x:c r="AC35" s="6" t="str">
        <x:f t="shared" si="5"/>
      </x:c>
      <x:c r="AD35" s="8"/>
      <x:c r="AE35" s="3"/>
      <x:c r="AF35" s="3"/>
    </x:row>
    <x:row r="36" ht="14.600000381469727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4" t="str">
        <x:f t="shared" si="3"/>
      </x:c>
      <x:c r="V36" s="3"/>
      <x:c r="W36" s="5"/>
      <x:c r="X36" s="5"/>
      <x:c r="Y36" s="6" t="str">
        <x:f t="shared" si="4"/>
      </x:c>
      <x:c r="Z36" s="7"/>
      <x:c r="AA36" s="6" t="str">
        <x:f>IF(Z36="","",IF(OR(Z36&lt;0,Z36&gt;1),"Invalid rate",(1-Z36)*Assumptions!$B$7))</x:f>
      </x:c>
      <x:c r="AB36" s="5"/>
      <x:c r="AC36" s="6" t="str">
        <x:f t="shared" si="5"/>
      </x:c>
      <x:c r="AD36" s="8"/>
      <x:c r="AE36" s="3"/>
      <x:c r="AF36" s="3"/>
    </x:row>
    <x:row r="37" ht="14.60000038146972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4" t="str">
        <x:f t="shared" si="3"/>
      </x:c>
      <x:c r="V37" s="3"/>
      <x:c r="W37" s="5"/>
      <x:c r="X37" s="5"/>
      <x:c r="Y37" s="6" t="str">
        <x:f t="shared" si="4"/>
      </x:c>
      <x:c r="Z37" s="7"/>
      <x:c r="AA37" s="6" t="str">
        <x:f>IF(Z37="","",IF(OR(Z37&lt;0,Z37&gt;1),"Invalid rate",(1-Z37)*Assumptions!$B$7))</x:f>
      </x:c>
      <x:c r="AB37" s="5"/>
      <x:c r="AC37" s="6" t="str">
        <x:f t="shared" si="5"/>
      </x:c>
      <x:c r="AD37" s="8"/>
      <x:c r="AE37" s="3"/>
      <x:c r="AF37" s="3"/>
    </x:row>
    <x:row r="38" ht="14.600000381469727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4" t="str">
        <x:f t="shared" si="3"/>
      </x:c>
      <x:c r="V38" s="3"/>
      <x:c r="W38" s="5"/>
      <x:c r="X38" s="5"/>
      <x:c r="Y38" s="6" t="str">
        <x:f t="shared" si="4"/>
      </x:c>
      <x:c r="Z38" s="7"/>
      <x:c r="AA38" s="6" t="str">
        <x:f>IF(Z38="","",IF(OR(Z38&lt;0,Z38&gt;1),"Invalid rate",(1-Z38)*Assumptions!$B$7))</x:f>
      </x:c>
      <x:c r="AB38" s="5"/>
      <x:c r="AC38" s="6" t="str">
        <x:f t="shared" si="5"/>
      </x:c>
      <x:c r="AD38" s="8"/>
      <x:c r="AE38" s="3"/>
      <x:c r="AF38" s="3"/>
    </x:row>
    <x:row r="39" ht="14.600000381469727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4" t="str">
        <x:f t="shared" si="3"/>
      </x:c>
      <x:c r="V39" s="3"/>
      <x:c r="W39" s="5"/>
      <x:c r="X39" s="5"/>
      <x:c r="Y39" s="6" t="str">
        <x:f t="shared" si="4"/>
      </x:c>
      <x:c r="Z39" s="7"/>
      <x:c r="AA39" s="6" t="str">
        <x:f>IF(Z39="","",IF(OR(Z39&lt;0,Z39&gt;1),"Invalid rate",(1-Z39)*Assumptions!$B$7))</x:f>
      </x:c>
      <x:c r="AB39" s="5"/>
      <x:c r="AC39" s="6" t="str">
        <x:f t="shared" si="5"/>
      </x:c>
      <x:c r="AD39" s="8"/>
      <x:c r="AE39" s="3"/>
      <x:c r="AF39" s="3"/>
    </x:row>
    <x:row r="40" ht="14.600000381469727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4" t="str">
        <x:f t="shared" si="3"/>
      </x:c>
      <x:c r="V40" s="3"/>
      <x:c r="W40" s="5"/>
      <x:c r="X40" s="5"/>
      <x:c r="Y40" s="6" t="str">
        <x:f t="shared" si="4"/>
      </x:c>
      <x:c r="Z40" s="7"/>
      <x:c r="AA40" s="6" t="str">
        <x:f>IF(Z40="","",IF(OR(Z40&lt;0,Z40&gt;1),"Invalid rate",(1-Z40)*Assumptions!$B$7))</x:f>
      </x:c>
      <x:c r="AB40" s="5"/>
      <x:c r="AC40" s="6" t="str">
        <x:f t="shared" si="5"/>
      </x:c>
      <x:c r="AD40" s="8"/>
      <x:c r="AE40" s="3"/>
      <x:c r="AF40" s="3"/>
    </x:row>
    <x:row r="41" ht="14.600000381469727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4" t="str">
        <x:f t="shared" si="3"/>
      </x:c>
      <x:c r="V41" s="3"/>
      <x:c r="W41" s="5"/>
      <x:c r="X41" s="5"/>
      <x:c r="Y41" s="6" t="str">
        <x:f t="shared" si="4"/>
      </x:c>
      <x:c r="Z41" s="7"/>
      <x:c r="AA41" s="6" t="str">
        <x:f>IF(Z41="","",IF(OR(Z41&lt;0,Z41&gt;1),"Invalid rate",(1-Z41)*Assumptions!$B$7))</x:f>
      </x:c>
      <x:c r="AB41" s="5"/>
      <x:c r="AC41" s="6" t="str">
        <x:f t="shared" si="5"/>
      </x:c>
      <x:c r="AD41" s="8"/>
      <x:c r="AE41" s="3"/>
      <x:c r="AF41" s="3"/>
    </x:row>
    <x:row r="42" ht="14.600000381469727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4" t="str">
        <x:f t="shared" si="3"/>
      </x:c>
      <x:c r="V42" s="3"/>
      <x:c r="W42" s="5"/>
      <x:c r="X42" s="5"/>
      <x:c r="Y42" s="6" t="str">
        <x:f t="shared" si="4"/>
      </x:c>
      <x:c r="Z42" s="7"/>
      <x:c r="AA42" s="6" t="str">
        <x:f>IF(Z42="","",IF(OR(Z42&lt;0,Z42&gt;1),"Invalid rate",(1-Z42)*Assumptions!$B$7))</x:f>
      </x:c>
      <x:c r="AB42" s="5"/>
      <x:c r="AC42" s="6" t="str">
        <x:f t="shared" si="5"/>
      </x:c>
      <x:c r="AD42" s="8"/>
      <x:c r="AE42" s="3"/>
      <x:c r="AF42" s="3"/>
    </x:row>
    <x:row r="43" ht="14.600000381469727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4" t="str">
        <x:f t="shared" si="3"/>
      </x:c>
      <x:c r="V43" s="3"/>
      <x:c r="W43" s="5"/>
      <x:c r="X43" s="5"/>
      <x:c r="Y43" s="6" t="str">
        <x:f t="shared" si="4"/>
      </x:c>
      <x:c r="Z43" s="7"/>
      <x:c r="AA43" s="6" t="str">
        <x:f>IF(Z43="","",IF(OR(Z43&lt;0,Z43&gt;1),"Invalid rate",(1-Z43)*Assumptions!$B$7))</x:f>
      </x:c>
      <x:c r="AB43" s="5"/>
      <x:c r="AC43" s="6" t="str">
        <x:f t="shared" si="5"/>
      </x:c>
      <x:c r="AD43" s="8"/>
      <x:c r="AE43" s="3"/>
      <x:c r="AF43" s="3"/>
    </x:row>
    <x:row r="44" ht="14.600000381469727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4" t="str">
        <x:f t="shared" si="3"/>
      </x:c>
      <x:c r="V44" s="3"/>
      <x:c r="W44" s="5"/>
      <x:c r="X44" s="5"/>
      <x:c r="Y44" s="6" t="str">
        <x:f t="shared" si="4"/>
      </x:c>
      <x:c r="Z44" s="7"/>
      <x:c r="AA44" s="6" t="str">
        <x:f>IF(Z44="","",IF(OR(Z44&lt;0,Z44&gt;1),"Invalid rate",(1-Z44)*Assumptions!$B$7))</x:f>
      </x:c>
      <x:c r="AB44" s="5"/>
      <x:c r="AC44" s="6" t="str">
        <x:f t="shared" si="5"/>
      </x:c>
      <x:c r="AD44" s="8"/>
      <x:c r="AE44" s="3"/>
      <x:c r="AF44" s="3"/>
    </x:row>
    <x:row r="45" ht="14.600000381469727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4" t="str">
        <x:f t="shared" si="3"/>
      </x:c>
      <x:c r="V45" s="3"/>
      <x:c r="W45" s="5"/>
      <x:c r="X45" s="5"/>
      <x:c r="Y45" s="6" t="str">
        <x:f t="shared" si="4"/>
      </x:c>
      <x:c r="Z45" s="7"/>
      <x:c r="AA45" s="6" t="str">
        <x:f>IF(Z45="","",IF(OR(Z45&lt;0,Z45&gt;1),"Invalid rate",(1-Z45)*Assumptions!$B$7))</x:f>
      </x:c>
      <x:c r="AB45" s="5"/>
      <x:c r="AC45" s="6" t="str">
        <x:f t="shared" si="5"/>
      </x:c>
      <x:c r="AD45" s="8"/>
      <x:c r="AE45" s="3"/>
      <x:c r="AF45" s="3"/>
    </x:row>
    <x:row r="46" ht="14.600000381469727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4" t="str">
        <x:f t="shared" si="3"/>
      </x:c>
      <x:c r="V46" s="3"/>
      <x:c r="W46" s="5"/>
      <x:c r="X46" s="5"/>
      <x:c r="Y46" s="6" t="str">
        <x:f t="shared" si="4"/>
      </x:c>
      <x:c r="Z46" s="7"/>
      <x:c r="AA46" s="6" t="str">
        <x:f>IF(Z46="","",IF(OR(Z46&lt;0,Z46&gt;1),"Invalid rate",(1-Z46)*Assumptions!$B$7))</x:f>
      </x:c>
      <x:c r="AB46" s="5"/>
      <x:c r="AC46" s="6" t="str">
        <x:f t="shared" si="5"/>
      </x:c>
      <x:c r="AD46" s="8"/>
      <x:c r="AE46" s="3"/>
      <x:c r="AF46" s="3"/>
    </x:row>
    <x:row r="47" ht="14.60000038146972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4" t="str">
        <x:f t="shared" si="3"/>
      </x:c>
      <x:c r="V47" s="3"/>
      <x:c r="W47" s="5"/>
      <x:c r="X47" s="5"/>
      <x:c r="Y47" s="6" t="str">
        <x:f t="shared" si="4"/>
      </x:c>
      <x:c r="Z47" s="7"/>
      <x:c r="AA47" s="6" t="str">
        <x:f>IF(Z47="","",IF(OR(Z47&lt;0,Z47&gt;1),"Invalid rate",(1-Z47)*Assumptions!$B$7))</x:f>
      </x:c>
      <x:c r="AB47" s="5"/>
      <x:c r="AC47" s="6" t="str">
        <x:f t="shared" si="5"/>
      </x:c>
      <x:c r="AD47" s="8"/>
      <x:c r="AE47" s="3"/>
      <x:c r="AF47" s="3"/>
    </x:row>
    <x:row r="48" ht="14.600000381469727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4" t="str">
        <x:f t="shared" si="3"/>
      </x:c>
      <x:c r="V48" s="3"/>
      <x:c r="W48" s="5"/>
      <x:c r="X48" s="5"/>
      <x:c r="Y48" s="6" t="str">
        <x:f t="shared" si="4"/>
      </x:c>
      <x:c r="Z48" s="7"/>
      <x:c r="AA48" s="6" t="str">
        <x:f>IF(Z48="","",IF(OR(Z48&lt;0,Z48&gt;1),"Invalid rate",(1-Z48)*Assumptions!$B$7))</x:f>
      </x:c>
      <x:c r="AB48" s="5"/>
      <x:c r="AC48" s="6" t="str">
        <x:f t="shared" si="5"/>
      </x:c>
      <x:c r="AD48" s="8"/>
      <x:c r="AE48" s="3"/>
      <x:c r="AF48" s="3"/>
    </x:row>
    <x:row r="49" ht="14.600000381469727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4" t="str">
        <x:f t="shared" si="3"/>
      </x:c>
      <x:c r="V49" s="3"/>
      <x:c r="W49" s="5"/>
      <x:c r="X49" s="5"/>
      <x:c r="Y49" s="6" t="str">
        <x:f t="shared" si="4"/>
      </x:c>
      <x:c r="Z49" s="7"/>
      <x:c r="AA49" s="6" t="str">
        <x:f>IF(Z49="","",IF(OR(Z49&lt;0,Z49&gt;1),"Invalid rate",(1-Z49)*Assumptions!$B$7))</x:f>
      </x:c>
      <x:c r="AB49" s="5"/>
      <x:c r="AC49" s="6" t="str">
        <x:f t="shared" si="5"/>
      </x:c>
      <x:c r="AD49" s="8"/>
      <x:c r="AE49" s="3"/>
      <x:c r="AF49" s="3"/>
    </x:row>
    <x:row r="50" ht="14.600000381469727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4" t="str">
        <x:f t="shared" si="3"/>
      </x:c>
      <x:c r="V50" s="3"/>
      <x:c r="W50" s="5"/>
      <x:c r="X50" s="5"/>
      <x:c r="Y50" s="6" t="str">
        <x:f t="shared" si="4"/>
      </x:c>
      <x:c r="Z50" s="7"/>
      <x:c r="AA50" s="6" t="str">
        <x:f>IF(Z50="","",IF(OR(Z50&lt;0,Z50&gt;1),"Invalid rate",(1-Z50)*Assumptions!$B$7))</x:f>
      </x:c>
      <x:c r="AB50" s="5"/>
      <x:c r="AC50" s="6" t="str">
        <x:f t="shared" si="5"/>
      </x:c>
      <x:c r="AD50" s="8"/>
      <x:c r="AE50" s="3"/>
      <x:c r="AF50" s="3"/>
    </x:row>
    <x:row r="51" ht="14.600000381469727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4" t="str">
        <x:f t="shared" si="3"/>
      </x:c>
      <x:c r="V51" s="3"/>
      <x:c r="W51" s="5"/>
      <x:c r="X51" s="5"/>
      <x:c r="Y51" s="6" t="str">
        <x:f t="shared" si="4"/>
      </x:c>
      <x:c r="Z51" s="7"/>
      <x:c r="AA51" s="6" t="str">
        <x:f>IF(Z51="","",IF(OR(Z51&lt;0,Z51&gt;1),"Invalid rate",(1-Z51)*Assumptions!$B$7))</x:f>
      </x:c>
      <x:c r="AB51" s="5"/>
      <x:c r="AC51" s="6" t="str">
        <x:f t="shared" si="5"/>
      </x:c>
      <x:c r="AD51" s="8"/>
      <x:c r="AE51" s="3"/>
      <x:c r="AF51" s="3"/>
    </x:row>
    <x:row r="52" ht="14.600000381469727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4" t="str">
        <x:f t="shared" si="3"/>
      </x:c>
      <x:c r="V52" s="3"/>
      <x:c r="W52" s="5"/>
      <x:c r="X52" s="5"/>
      <x:c r="Y52" s="6" t="str">
        <x:f t="shared" si="4"/>
      </x:c>
      <x:c r="Z52" s="7"/>
      <x:c r="AA52" s="6" t="str">
        <x:f>IF(Z52="","",IF(OR(Z52&lt;0,Z52&gt;1),"Invalid rate",(1-Z52)*Assumptions!$B$7))</x:f>
      </x:c>
      <x:c r="AB52" s="5"/>
      <x:c r="AC52" s="6" t="str">
        <x:f t="shared" si="5"/>
      </x:c>
      <x:c r="AD52" s="8"/>
      <x:c r="AE52" s="3"/>
      <x:c r="AF52" s="3"/>
    </x:row>
    <x:row r="53" ht="14.600000381469727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4" t="str">
        <x:f t="shared" si="3"/>
      </x:c>
      <x:c r="V53" s="3"/>
      <x:c r="W53" s="5"/>
      <x:c r="X53" s="5"/>
      <x:c r="Y53" s="6" t="str">
        <x:f t="shared" si="4"/>
      </x:c>
      <x:c r="Z53" s="7"/>
      <x:c r="AA53" s="6" t="str">
        <x:f>IF(Z53="","",IF(OR(Z53&lt;0,Z53&gt;1),"Invalid rate",(1-Z53)*Assumptions!$B$7))</x:f>
      </x:c>
      <x:c r="AB53" s="5"/>
      <x:c r="AC53" s="6" t="str">
        <x:f t="shared" si="5"/>
      </x:c>
      <x:c r="AD53" s="8"/>
      <x:c r="AE53" s="3"/>
      <x:c r="AF53" s="3"/>
    </x:row>
    <x:row r="54" ht="14.600000381469727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4" t="str">
        <x:f t="shared" si="3"/>
      </x:c>
      <x:c r="V54" s="3"/>
      <x:c r="W54" s="5"/>
      <x:c r="X54" s="5"/>
      <x:c r="Y54" s="6" t="str">
        <x:f t="shared" si="4"/>
      </x:c>
      <x:c r="Z54" s="7"/>
      <x:c r="AA54" s="6" t="str">
        <x:f>IF(Z54="","",IF(OR(Z54&lt;0,Z54&gt;1),"Invalid rate",(1-Z54)*Assumptions!$B$7))</x:f>
      </x:c>
      <x:c r="AB54" s="5"/>
      <x:c r="AC54" s="6" t="str">
        <x:f t="shared" si="5"/>
      </x:c>
      <x:c r="AD54" s="8"/>
      <x:c r="AE54" s="3"/>
      <x:c r="AF54" s="3"/>
    </x:row>
    <x:row r="55" ht="14.600000381469727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4" t="str">
        <x:f t="shared" si="3"/>
      </x:c>
      <x:c r="V55" s="3"/>
      <x:c r="W55" s="5"/>
      <x:c r="X55" s="5"/>
      <x:c r="Y55" s="6" t="str">
        <x:f t="shared" si="4"/>
      </x:c>
      <x:c r="Z55" s="7"/>
      <x:c r="AA55" s="6" t="str">
        <x:f>IF(Z55="","",IF(OR(Z55&lt;0,Z55&gt;1),"Invalid rate",(1-Z55)*Assumptions!$B$7))</x:f>
      </x:c>
      <x:c r="AB55" s="5"/>
      <x:c r="AC55" s="6" t="str">
        <x:f t="shared" si="5"/>
      </x:c>
      <x:c r="AD55" s="8"/>
      <x:c r="AE55" s="3"/>
      <x:c r="AF55" s="3"/>
    </x:row>
    <x:row r="56" ht="14.600000381469727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4" t="str">
        <x:f t="shared" si="3"/>
      </x:c>
      <x:c r="V56" s="3"/>
      <x:c r="W56" s="5"/>
      <x:c r="X56" s="5"/>
      <x:c r="Y56" s="6" t="str">
        <x:f t="shared" si="4"/>
      </x:c>
      <x:c r="Z56" s="7"/>
      <x:c r="AA56" s="6" t="str">
        <x:f>IF(Z56="","",IF(OR(Z56&lt;0,Z56&gt;1),"Invalid rate",(1-Z56)*Assumptions!$B$7))</x:f>
      </x:c>
      <x:c r="AB56" s="5"/>
      <x:c r="AC56" s="6" t="str">
        <x:f t="shared" si="5"/>
      </x:c>
      <x:c r="AD56" s="8"/>
      <x:c r="AE56" s="3"/>
      <x:c r="AF56" s="3"/>
    </x:row>
    <x:row r="57" ht="14.60000038146972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4" t="str">
        <x:f t="shared" si="3"/>
      </x:c>
      <x:c r="V57" s="3"/>
      <x:c r="W57" s="5"/>
      <x:c r="X57" s="5"/>
      <x:c r="Y57" s="6" t="str">
        <x:f t="shared" si="4"/>
      </x:c>
      <x:c r="Z57" s="7"/>
      <x:c r="AA57" s="6" t="str">
        <x:f>IF(Z57="","",IF(OR(Z57&lt;0,Z57&gt;1),"Invalid rate",(1-Z57)*Assumptions!$B$7))</x:f>
      </x:c>
      <x:c r="AB57" s="5"/>
      <x:c r="AC57" s="6" t="str">
        <x:f t="shared" si="5"/>
      </x:c>
      <x:c r="AD57" s="8"/>
      <x:c r="AE57" s="3"/>
      <x:c r="AF57" s="3"/>
    </x:row>
    <x:row r="58" ht="14.600000381469727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4" t="str">
        <x:f t="shared" si="3"/>
      </x:c>
      <x:c r="V58" s="3"/>
      <x:c r="W58" s="5"/>
      <x:c r="X58" s="5"/>
      <x:c r="Y58" s="6" t="str">
        <x:f t="shared" si="4"/>
      </x:c>
      <x:c r="Z58" s="7"/>
      <x:c r="AA58" s="6" t="str">
        <x:f>IF(Z58="","",IF(OR(Z58&lt;0,Z58&gt;1),"Invalid rate",(1-Z58)*Assumptions!$B$7))</x:f>
      </x:c>
      <x:c r="AB58" s="5"/>
      <x:c r="AC58" s="6" t="str">
        <x:f t="shared" si="5"/>
      </x:c>
      <x:c r="AD58" s="8"/>
      <x:c r="AE58" s="3"/>
      <x:c r="AF58" s="3"/>
    </x:row>
    <x:row r="59" ht="14.600000381469727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4" t="str">
        <x:f t="shared" si="3"/>
      </x:c>
      <x:c r="V59" s="3"/>
      <x:c r="W59" s="5"/>
      <x:c r="X59" s="5"/>
      <x:c r="Y59" s="6" t="str">
        <x:f t="shared" si="4"/>
      </x:c>
      <x:c r="Z59" s="7"/>
      <x:c r="AA59" s="6" t="str">
        <x:f>IF(Z59="","",IF(OR(Z59&lt;0,Z59&gt;1),"Invalid rate",(1-Z59)*Assumptions!$B$7))</x:f>
      </x:c>
      <x:c r="AB59" s="5"/>
      <x:c r="AC59" s="6" t="str">
        <x:f t="shared" si="5"/>
      </x:c>
      <x:c r="AD59" s="8"/>
      <x:c r="AE59" s="3"/>
      <x:c r="AF59" s="3"/>
    </x:row>
    <x:row r="60" ht="14.600000381469727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4" t="str">
        <x:f t="shared" si="3"/>
      </x:c>
      <x:c r="V60" s="3"/>
      <x:c r="W60" s="5"/>
      <x:c r="X60" s="5"/>
      <x:c r="Y60" s="6" t="str">
        <x:f t="shared" si="4"/>
      </x:c>
      <x:c r="Z60" s="7"/>
      <x:c r="AA60" s="6" t="str">
        <x:f>IF(Z60="","",IF(OR(Z60&lt;0,Z60&gt;1),"Invalid rate",(1-Z60)*Assumptions!$B$7))</x:f>
      </x:c>
      <x:c r="AB60" s="5"/>
      <x:c r="AC60" s="6" t="str">
        <x:f t="shared" si="5"/>
      </x:c>
      <x:c r="AD60" s="8"/>
      <x:c r="AE60" s="3"/>
      <x:c r="AF60" s="3"/>
    </x:row>
    <x:row r="61" ht="14.600000381469727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4" t="str">
        <x:f t="shared" si="3"/>
      </x:c>
      <x:c r="V61" s="3"/>
      <x:c r="W61" s="5"/>
      <x:c r="X61" s="5"/>
      <x:c r="Y61" s="6" t="str">
        <x:f t="shared" si="4"/>
      </x:c>
      <x:c r="Z61" s="7"/>
      <x:c r="AA61" s="6" t="str">
        <x:f>IF(Z61="","",IF(OR(Z61&lt;0,Z61&gt;1),"Invalid rate",(1-Z61)*Assumptions!$B$7))</x:f>
      </x:c>
      <x:c r="AB61" s="5"/>
      <x:c r="AC61" s="6" t="str">
        <x:f t="shared" si="5"/>
      </x:c>
      <x:c r="AD61" s="8"/>
      <x:c r="AE61" s="3"/>
      <x:c r="AF61" s="3"/>
    </x:row>
    <x:row r="62" ht="14.600000381469727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4" t="str">
        <x:f t="shared" si="3"/>
      </x:c>
      <x:c r="V62" s="3"/>
      <x:c r="W62" s="5"/>
      <x:c r="X62" s="5"/>
      <x:c r="Y62" s="6" t="str">
        <x:f t="shared" si="4"/>
      </x:c>
      <x:c r="Z62" s="7"/>
      <x:c r="AA62" s="6" t="str">
        <x:f>IF(Z62="","",IF(OR(Z62&lt;0,Z62&gt;1),"Invalid rate",(1-Z62)*Assumptions!$B$7))</x:f>
      </x:c>
      <x:c r="AB62" s="5"/>
      <x:c r="AC62" s="6" t="str">
        <x:f t="shared" si="5"/>
      </x:c>
      <x:c r="AD62" s="8"/>
      <x:c r="AE62" s="3"/>
      <x:c r="AF62" s="3"/>
    </x:row>
    <x:row r="63" ht="14.600000381469727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4" t="str">
        <x:f t="shared" si="3"/>
      </x:c>
      <x:c r="V63" s="3"/>
      <x:c r="W63" s="5"/>
      <x:c r="X63" s="5"/>
      <x:c r="Y63" s="6" t="str">
        <x:f t="shared" si="4"/>
      </x:c>
      <x:c r="Z63" s="7"/>
      <x:c r="AA63" s="6" t="str">
        <x:f>IF(Z63="","",IF(OR(Z63&lt;0,Z63&gt;1),"Invalid rate",(1-Z63)*Assumptions!$B$7))</x:f>
      </x:c>
      <x:c r="AB63" s="5"/>
      <x:c r="AC63" s="6" t="str">
        <x:f t="shared" si="5"/>
      </x:c>
      <x:c r="AD63" s="8"/>
      <x:c r="AE63" s="3"/>
      <x:c r="AF63" s="3"/>
    </x:row>
    <x:row r="64" ht="14.600000381469727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4" t="str">
        <x:f t="shared" si="3"/>
      </x:c>
      <x:c r="V64" s="3"/>
      <x:c r="W64" s="5"/>
      <x:c r="X64" s="5"/>
      <x:c r="Y64" s="6" t="str">
        <x:f t="shared" si="4"/>
      </x:c>
      <x:c r="Z64" s="7"/>
      <x:c r="AA64" s="6" t="str">
        <x:f>IF(Z64="","",IF(OR(Z64&lt;0,Z64&gt;1),"Invalid rate",(1-Z64)*Assumptions!$B$7))</x:f>
      </x:c>
      <x:c r="AB64" s="5"/>
      <x:c r="AC64" s="6" t="str">
        <x:f t="shared" si="5"/>
      </x:c>
      <x:c r="AD64" s="8"/>
      <x:c r="AE64" s="3"/>
      <x:c r="AF64" s="3"/>
    </x:row>
    <x:row r="65" ht="14.600000381469727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4" t="str">
        <x:f t="shared" si="3"/>
      </x:c>
      <x:c r="V65" s="3"/>
      <x:c r="W65" s="5"/>
      <x:c r="X65" s="5"/>
      <x:c r="Y65" s="6" t="str">
        <x:f t="shared" si="4"/>
      </x:c>
      <x:c r="Z65" s="7"/>
      <x:c r="AA65" s="6" t="str">
        <x:f>IF(Z65="","",IF(OR(Z65&lt;0,Z65&gt;1),"Invalid rate",(1-Z65)*Assumptions!$B$7))</x:f>
      </x:c>
      <x:c r="AB65" s="5"/>
      <x:c r="AC65" s="6" t="str">
        <x:f t="shared" si="5"/>
      </x:c>
      <x:c r="AD65" s="8"/>
      <x:c r="AE65" s="3"/>
      <x:c r="AF65" s="3"/>
    </x:row>
    <x:row r="66" ht="14.600000381469727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4" t="str">
        <x:f t="shared" ref="U66:U97" si="6">IF(OR(S66="",T66=""),"",S66+T66)</x:f>
      </x:c>
      <x:c r="V66" s="3"/>
      <x:c r="W66" s="5"/>
      <x:c r="X66" s="5"/>
      <x:c r="Y66" s="6" t="str">
        <x:f t="shared" ref="Y66:Y97" si="7">IF(OR(S66="",T66="",W66="",X66=""),"",IF(MIN(S66,T66,W66,X66)&lt;0,"Invalid input",(S66*W66+T66*X66)/1000000))</x:f>
      </x:c>
      <x:c r="Z66" s="7"/>
      <x:c r="AA66" s="6" t="str">
        <x:f>IF(Z66="","",IF(OR(Z66&lt;0,Z66&gt;1),"Invalid rate",(1-Z66)*Assumptions!$B$7))</x:f>
      </x:c>
      <x:c r="AB66" s="5"/>
      <x:c r="AC66" s="6" t="str">
        <x:f t="shared" ref="AC66:AC97" si="8">IF(OR(Y66="",AA66="",AB66=""),"",IF(AND(ISNUMBER(Y66),ISNUMBER(AA66),AB66&gt;=0),Y66+AA66+AB66,"Invalid input"))</x:f>
      </x:c>
      <x:c r="AD66" s="8"/>
      <x:c r="AE66" s="3"/>
      <x:c r="AF66" s="3"/>
    </x:row>
    <x:row r="67" ht="14.60000038146972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4" t="str">
        <x:f t="shared" si="6"/>
      </x:c>
      <x:c r="V67" s="3"/>
      <x:c r="W67" s="5"/>
      <x:c r="X67" s="5"/>
      <x:c r="Y67" s="6" t="str">
        <x:f t="shared" si="7"/>
      </x:c>
      <x:c r="Z67" s="7"/>
      <x:c r="AA67" s="6" t="str">
        <x:f>IF(Z67="","",IF(OR(Z67&lt;0,Z67&gt;1),"Invalid rate",(1-Z67)*Assumptions!$B$7))</x:f>
      </x:c>
      <x:c r="AB67" s="5"/>
      <x:c r="AC67" s="6" t="str">
        <x:f t="shared" si="8"/>
      </x:c>
      <x:c r="AD67" s="8"/>
      <x:c r="AE67" s="3"/>
      <x:c r="AF67" s="3"/>
    </x:row>
    <x:row r="68" ht="14.600000381469727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4" t="str">
        <x:f t="shared" si="6"/>
      </x:c>
      <x:c r="V68" s="3"/>
      <x:c r="W68" s="5"/>
      <x:c r="X68" s="5"/>
      <x:c r="Y68" s="6" t="str">
        <x:f t="shared" si="7"/>
      </x:c>
      <x:c r="Z68" s="7"/>
      <x:c r="AA68" s="6" t="str">
        <x:f>IF(Z68="","",IF(OR(Z68&lt;0,Z68&gt;1),"Invalid rate",(1-Z68)*Assumptions!$B$7))</x:f>
      </x:c>
      <x:c r="AB68" s="5"/>
      <x:c r="AC68" s="6" t="str">
        <x:f t="shared" si="8"/>
      </x:c>
      <x:c r="AD68" s="8"/>
      <x:c r="AE68" s="3"/>
      <x:c r="AF68" s="3"/>
    </x:row>
    <x:row r="69" ht="14.600000381469727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4" t="str">
        <x:f t="shared" si="6"/>
      </x:c>
      <x:c r="V69" s="3"/>
      <x:c r="W69" s="5"/>
      <x:c r="X69" s="5"/>
      <x:c r="Y69" s="6" t="str">
        <x:f t="shared" si="7"/>
      </x:c>
      <x:c r="Z69" s="7"/>
      <x:c r="AA69" s="6" t="str">
        <x:f>IF(Z69="","",IF(OR(Z69&lt;0,Z69&gt;1),"Invalid rate",(1-Z69)*Assumptions!$B$7))</x:f>
      </x:c>
      <x:c r="AB69" s="5"/>
      <x:c r="AC69" s="6" t="str">
        <x:f t="shared" si="8"/>
      </x:c>
      <x:c r="AD69" s="8"/>
      <x:c r="AE69" s="3"/>
      <x:c r="AF69" s="3"/>
    </x:row>
    <x:row r="70" ht="14.600000381469727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4" t="str">
        <x:f t="shared" si="6"/>
      </x:c>
      <x:c r="V70" s="3"/>
      <x:c r="W70" s="5"/>
      <x:c r="X70" s="5"/>
      <x:c r="Y70" s="6" t="str">
        <x:f t="shared" si="7"/>
      </x:c>
      <x:c r="Z70" s="7"/>
      <x:c r="AA70" s="6" t="str">
        <x:f>IF(Z70="","",IF(OR(Z70&lt;0,Z70&gt;1),"Invalid rate",(1-Z70)*Assumptions!$B$7))</x:f>
      </x:c>
      <x:c r="AB70" s="5"/>
      <x:c r="AC70" s="6" t="str">
        <x:f t="shared" si="8"/>
      </x:c>
      <x:c r="AD70" s="8"/>
      <x:c r="AE70" s="3"/>
      <x:c r="AF70" s="3"/>
    </x:row>
    <x:row r="71" ht="14.600000381469727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4" t="str">
        <x:f t="shared" si="6"/>
      </x:c>
      <x:c r="V71" s="3"/>
      <x:c r="W71" s="5"/>
      <x:c r="X71" s="5"/>
      <x:c r="Y71" s="6" t="str">
        <x:f t="shared" si="7"/>
      </x:c>
      <x:c r="Z71" s="7"/>
      <x:c r="AA71" s="6" t="str">
        <x:f>IF(Z71="","",IF(OR(Z71&lt;0,Z71&gt;1),"Invalid rate",(1-Z71)*Assumptions!$B$7))</x:f>
      </x:c>
      <x:c r="AB71" s="5"/>
      <x:c r="AC71" s="6" t="str">
        <x:f t="shared" si="8"/>
      </x:c>
      <x:c r="AD71" s="8"/>
      <x:c r="AE71" s="3"/>
      <x:c r="AF71" s="3"/>
    </x:row>
    <x:row r="72" ht="14.600000381469727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4" t="str">
        <x:f t="shared" si="6"/>
      </x:c>
      <x:c r="V72" s="3"/>
      <x:c r="W72" s="5"/>
      <x:c r="X72" s="5"/>
      <x:c r="Y72" s="6" t="str">
        <x:f t="shared" si="7"/>
      </x:c>
      <x:c r="Z72" s="7"/>
      <x:c r="AA72" s="6" t="str">
        <x:f>IF(Z72="","",IF(OR(Z72&lt;0,Z72&gt;1),"Invalid rate",(1-Z72)*Assumptions!$B$7))</x:f>
      </x:c>
      <x:c r="AB72" s="5"/>
      <x:c r="AC72" s="6" t="str">
        <x:f t="shared" si="8"/>
      </x:c>
      <x:c r="AD72" s="8"/>
      <x:c r="AE72" s="3"/>
      <x:c r="AF72" s="3"/>
    </x:row>
    <x:row r="73" ht="14.600000381469727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4" t="str">
        <x:f t="shared" si="6"/>
      </x:c>
      <x:c r="V73" s="3"/>
      <x:c r="W73" s="5"/>
      <x:c r="X73" s="5"/>
      <x:c r="Y73" s="6" t="str">
        <x:f t="shared" si="7"/>
      </x:c>
      <x:c r="Z73" s="7"/>
      <x:c r="AA73" s="6" t="str">
        <x:f>IF(Z73="","",IF(OR(Z73&lt;0,Z73&gt;1),"Invalid rate",(1-Z73)*Assumptions!$B$7))</x:f>
      </x:c>
      <x:c r="AB73" s="5"/>
      <x:c r="AC73" s="6" t="str">
        <x:f t="shared" si="8"/>
      </x:c>
      <x:c r="AD73" s="8"/>
      <x:c r="AE73" s="3"/>
      <x:c r="AF73" s="3"/>
    </x:row>
    <x:row r="74" ht="14.600000381469727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4" t="str">
        <x:f t="shared" si="6"/>
      </x:c>
      <x:c r="V74" s="3"/>
      <x:c r="W74" s="5"/>
      <x:c r="X74" s="5"/>
      <x:c r="Y74" s="6" t="str">
        <x:f t="shared" si="7"/>
      </x:c>
      <x:c r="Z74" s="7"/>
      <x:c r="AA74" s="6" t="str">
        <x:f>IF(Z74="","",IF(OR(Z74&lt;0,Z74&gt;1),"Invalid rate",(1-Z74)*Assumptions!$B$7))</x:f>
      </x:c>
      <x:c r="AB74" s="5"/>
      <x:c r="AC74" s="6" t="str">
        <x:f t="shared" si="8"/>
      </x:c>
      <x:c r="AD74" s="8"/>
      <x:c r="AE74" s="3"/>
      <x:c r="AF74" s="3"/>
    </x:row>
    <x:row r="75" ht="14.600000381469727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4" t="str">
        <x:f t="shared" si="6"/>
      </x:c>
      <x:c r="V75" s="3"/>
      <x:c r="W75" s="5"/>
      <x:c r="X75" s="5"/>
      <x:c r="Y75" s="6" t="str">
        <x:f t="shared" si="7"/>
      </x:c>
      <x:c r="Z75" s="7"/>
      <x:c r="AA75" s="6" t="str">
        <x:f>IF(Z75="","",IF(OR(Z75&lt;0,Z75&gt;1),"Invalid rate",(1-Z75)*Assumptions!$B$7))</x:f>
      </x:c>
      <x:c r="AB75" s="5"/>
      <x:c r="AC75" s="6" t="str">
        <x:f t="shared" si="8"/>
      </x:c>
      <x:c r="AD75" s="8"/>
      <x:c r="AE75" s="3"/>
      <x:c r="AF75" s="3"/>
    </x:row>
    <x:row r="76" ht="14.600000381469727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4" t="str">
        <x:f t="shared" si="6"/>
      </x:c>
      <x:c r="V76" s="3"/>
      <x:c r="W76" s="5"/>
      <x:c r="X76" s="5"/>
      <x:c r="Y76" s="6" t="str">
        <x:f t="shared" si="7"/>
      </x:c>
      <x:c r="Z76" s="7"/>
      <x:c r="AA76" s="6" t="str">
        <x:f>IF(Z76="","",IF(OR(Z76&lt;0,Z76&gt;1),"Invalid rate",(1-Z76)*Assumptions!$B$7))</x:f>
      </x:c>
      <x:c r="AB76" s="5"/>
      <x:c r="AC76" s="6" t="str">
        <x:f t="shared" si="8"/>
      </x:c>
      <x:c r="AD76" s="8"/>
      <x:c r="AE76" s="3"/>
      <x:c r="AF76" s="3"/>
    </x:row>
    <x:row r="77" ht="14.60000038146972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4" t="str">
        <x:f t="shared" si="6"/>
      </x:c>
      <x:c r="V77" s="3"/>
      <x:c r="W77" s="5"/>
      <x:c r="X77" s="5"/>
      <x:c r="Y77" s="6" t="str">
        <x:f t="shared" si="7"/>
      </x:c>
      <x:c r="Z77" s="7"/>
      <x:c r="AA77" s="6" t="str">
        <x:f>IF(Z77="","",IF(OR(Z77&lt;0,Z77&gt;1),"Invalid rate",(1-Z77)*Assumptions!$B$7))</x:f>
      </x:c>
      <x:c r="AB77" s="5"/>
      <x:c r="AC77" s="6" t="str">
        <x:f t="shared" si="8"/>
      </x:c>
      <x:c r="AD77" s="8"/>
      <x:c r="AE77" s="3"/>
      <x:c r="AF77" s="3"/>
    </x:row>
    <x:row r="78" ht="14.600000381469727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4" t="str">
        <x:f t="shared" si="6"/>
      </x:c>
      <x:c r="V78" s="3"/>
      <x:c r="W78" s="5"/>
      <x:c r="X78" s="5"/>
      <x:c r="Y78" s="6" t="str">
        <x:f t="shared" si="7"/>
      </x:c>
      <x:c r="Z78" s="7"/>
      <x:c r="AA78" s="6" t="str">
        <x:f>IF(Z78="","",IF(OR(Z78&lt;0,Z78&gt;1),"Invalid rate",(1-Z78)*Assumptions!$B$7))</x:f>
      </x:c>
      <x:c r="AB78" s="5"/>
      <x:c r="AC78" s="6" t="str">
        <x:f t="shared" si="8"/>
      </x:c>
      <x:c r="AD78" s="8"/>
      <x:c r="AE78" s="3"/>
      <x:c r="AF78" s="3"/>
    </x:row>
    <x:row r="79" ht="14.600000381469727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4" t="str">
        <x:f t="shared" si="6"/>
      </x:c>
      <x:c r="V79" s="3"/>
      <x:c r="W79" s="5"/>
      <x:c r="X79" s="5"/>
      <x:c r="Y79" s="6" t="str">
        <x:f t="shared" si="7"/>
      </x:c>
      <x:c r="Z79" s="7"/>
      <x:c r="AA79" s="6" t="str">
        <x:f>IF(Z79="","",IF(OR(Z79&lt;0,Z79&gt;1),"Invalid rate",(1-Z79)*Assumptions!$B$7))</x:f>
      </x:c>
      <x:c r="AB79" s="5"/>
      <x:c r="AC79" s="6" t="str">
        <x:f t="shared" si="8"/>
      </x:c>
      <x:c r="AD79" s="8"/>
      <x:c r="AE79" s="3"/>
      <x:c r="AF79" s="3"/>
    </x:row>
    <x:row r="80" ht="14.600000381469727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4" t="str">
        <x:f t="shared" si="6"/>
      </x:c>
      <x:c r="V80" s="3"/>
      <x:c r="W80" s="5"/>
      <x:c r="X80" s="5"/>
      <x:c r="Y80" s="6" t="str">
        <x:f t="shared" si="7"/>
      </x:c>
      <x:c r="Z80" s="7"/>
      <x:c r="AA80" s="6" t="str">
        <x:f>IF(Z80="","",IF(OR(Z80&lt;0,Z80&gt;1),"Invalid rate",(1-Z80)*Assumptions!$B$7))</x:f>
      </x:c>
      <x:c r="AB80" s="5"/>
      <x:c r="AC80" s="6" t="str">
        <x:f t="shared" si="8"/>
      </x:c>
      <x:c r="AD80" s="8"/>
      <x:c r="AE80" s="3"/>
      <x:c r="AF80" s="3"/>
    </x:row>
    <x:row r="81" ht="14.600000381469727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4" t="str">
        <x:f t="shared" si="6"/>
      </x:c>
      <x:c r="V81" s="3"/>
      <x:c r="W81" s="5"/>
      <x:c r="X81" s="5"/>
      <x:c r="Y81" s="6" t="str">
        <x:f t="shared" si="7"/>
      </x:c>
      <x:c r="Z81" s="7"/>
      <x:c r="AA81" s="6" t="str">
        <x:f>IF(Z81="","",IF(OR(Z81&lt;0,Z81&gt;1),"Invalid rate",(1-Z81)*Assumptions!$B$7))</x:f>
      </x:c>
      <x:c r="AB81" s="5"/>
      <x:c r="AC81" s="6" t="str">
        <x:f t="shared" si="8"/>
      </x:c>
      <x:c r="AD81" s="8"/>
      <x:c r="AE81" s="3"/>
      <x:c r="AF81" s="3"/>
    </x:row>
    <x:row r="82" ht="14.600000381469727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4" t="str">
        <x:f t="shared" si="6"/>
      </x:c>
      <x:c r="V82" s="3"/>
      <x:c r="W82" s="5"/>
      <x:c r="X82" s="5"/>
      <x:c r="Y82" s="6" t="str">
        <x:f t="shared" si="7"/>
      </x:c>
      <x:c r="Z82" s="7"/>
      <x:c r="AA82" s="6" t="str">
        <x:f>IF(Z82="","",IF(OR(Z82&lt;0,Z82&gt;1),"Invalid rate",(1-Z82)*Assumptions!$B$7))</x:f>
      </x:c>
      <x:c r="AB82" s="5"/>
      <x:c r="AC82" s="6" t="str">
        <x:f t="shared" si="8"/>
      </x:c>
      <x:c r="AD82" s="8"/>
      <x:c r="AE82" s="3"/>
      <x:c r="AF82" s="3"/>
    </x:row>
    <x:row r="83" ht="14.600000381469727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4" t="str">
        <x:f t="shared" si="6"/>
      </x:c>
      <x:c r="V83" s="3"/>
      <x:c r="W83" s="5"/>
      <x:c r="X83" s="5"/>
      <x:c r="Y83" s="6" t="str">
        <x:f t="shared" si="7"/>
      </x:c>
      <x:c r="Z83" s="7"/>
      <x:c r="AA83" s="6" t="str">
        <x:f>IF(Z83="","",IF(OR(Z83&lt;0,Z83&gt;1),"Invalid rate",(1-Z83)*Assumptions!$B$7))</x:f>
      </x:c>
      <x:c r="AB83" s="5"/>
      <x:c r="AC83" s="6" t="str">
        <x:f t="shared" si="8"/>
      </x:c>
      <x:c r="AD83" s="8"/>
      <x:c r="AE83" s="3"/>
      <x:c r="AF83" s="3"/>
    </x:row>
    <x:row r="84" ht="14.600000381469727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4" t="str">
        <x:f t="shared" si="6"/>
      </x:c>
      <x:c r="V84" s="3"/>
      <x:c r="W84" s="5"/>
      <x:c r="X84" s="5"/>
      <x:c r="Y84" s="6" t="str">
        <x:f t="shared" si="7"/>
      </x:c>
      <x:c r="Z84" s="7"/>
      <x:c r="AA84" s="6" t="str">
        <x:f>IF(Z84="","",IF(OR(Z84&lt;0,Z84&gt;1),"Invalid rate",(1-Z84)*Assumptions!$B$7))</x:f>
      </x:c>
      <x:c r="AB84" s="5"/>
      <x:c r="AC84" s="6" t="str">
        <x:f t="shared" si="8"/>
      </x:c>
      <x:c r="AD84" s="8"/>
      <x:c r="AE84" s="3"/>
      <x:c r="AF84" s="3"/>
    </x:row>
    <x:row r="85" ht="14.600000381469727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4" t="str">
        <x:f t="shared" si="6"/>
      </x:c>
      <x:c r="V85" s="3"/>
      <x:c r="W85" s="5"/>
      <x:c r="X85" s="5"/>
      <x:c r="Y85" s="6" t="str">
        <x:f t="shared" si="7"/>
      </x:c>
      <x:c r="Z85" s="7"/>
      <x:c r="AA85" s="6" t="str">
        <x:f>IF(Z85="","",IF(OR(Z85&lt;0,Z85&gt;1),"Invalid rate",(1-Z85)*Assumptions!$B$7))</x:f>
      </x:c>
      <x:c r="AB85" s="5"/>
      <x:c r="AC85" s="6" t="str">
        <x:f t="shared" si="8"/>
      </x:c>
      <x:c r="AD85" s="8"/>
      <x:c r="AE85" s="3"/>
      <x:c r="AF85" s="3"/>
    </x:row>
    <x:row r="86" ht="14.600000381469727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4" t="str">
        <x:f t="shared" si="6"/>
      </x:c>
      <x:c r="V86" s="3"/>
      <x:c r="W86" s="5"/>
      <x:c r="X86" s="5"/>
      <x:c r="Y86" s="6" t="str">
        <x:f t="shared" si="7"/>
      </x:c>
      <x:c r="Z86" s="7"/>
      <x:c r="AA86" s="6" t="str">
        <x:f>IF(Z86="","",IF(OR(Z86&lt;0,Z86&gt;1),"Invalid rate",(1-Z86)*Assumptions!$B$7))</x:f>
      </x:c>
      <x:c r="AB86" s="5"/>
      <x:c r="AC86" s="6" t="str">
        <x:f t="shared" si="8"/>
      </x:c>
      <x:c r="AD86" s="8"/>
      <x:c r="AE86" s="3"/>
      <x:c r="AF86" s="3"/>
    </x:row>
    <x:row r="87" ht="14.60000038146972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4" t="str">
        <x:f t="shared" si="6"/>
      </x:c>
      <x:c r="V87" s="3"/>
      <x:c r="W87" s="5"/>
      <x:c r="X87" s="5"/>
      <x:c r="Y87" s="6" t="str">
        <x:f t="shared" si="7"/>
      </x:c>
      <x:c r="Z87" s="7"/>
      <x:c r="AA87" s="6" t="str">
        <x:f>IF(Z87="","",IF(OR(Z87&lt;0,Z87&gt;1),"Invalid rate",(1-Z87)*Assumptions!$B$7))</x:f>
      </x:c>
      <x:c r="AB87" s="5"/>
      <x:c r="AC87" s="6" t="str">
        <x:f t="shared" si="8"/>
      </x:c>
      <x:c r="AD87" s="8"/>
      <x:c r="AE87" s="3"/>
      <x:c r="AF87" s="3"/>
    </x:row>
    <x:row r="88" ht="14.600000381469727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4" t="str">
        <x:f t="shared" si="6"/>
      </x:c>
      <x:c r="V88" s="3"/>
      <x:c r="W88" s="5"/>
      <x:c r="X88" s="5"/>
      <x:c r="Y88" s="6" t="str">
        <x:f t="shared" si="7"/>
      </x:c>
      <x:c r="Z88" s="7"/>
      <x:c r="AA88" s="6" t="str">
        <x:f>IF(Z88="","",IF(OR(Z88&lt;0,Z88&gt;1),"Invalid rate",(1-Z88)*Assumptions!$B$7))</x:f>
      </x:c>
      <x:c r="AB88" s="5"/>
      <x:c r="AC88" s="6" t="str">
        <x:f t="shared" si="8"/>
      </x:c>
      <x:c r="AD88" s="8"/>
      <x:c r="AE88" s="3"/>
      <x:c r="AF88" s="3"/>
    </x:row>
    <x:row r="89" ht="14.600000381469727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4" t="str">
        <x:f t="shared" si="6"/>
      </x:c>
      <x:c r="V89" s="3"/>
      <x:c r="W89" s="5"/>
      <x:c r="X89" s="5"/>
      <x:c r="Y89" s="6" t="str">
        <x:f t="shared" si="7"/>
      </x:c>
      <x:c r="Z89" s="7"/>
      <x:c r="AA89" s="6" t="str">
        <x:f>IF(Z89="","",IF(OR(Z89&lt;0,Z89&gt;1),"Invalid rate",(1-Z89)*Assumptions!$B$7))</x:f>
      </x:c>
      <x:c r="AB89" s="5"/>
      <x:c r="AC89" s="6" t="str">
        <x:f t="shared" si="8"/>
      </x:c>
      <x:c r="AD89" s="8"/>
      <x:c r="AE89" s="3"/>
      <x:c r="AF89" s="3"/>
    </x:row>
    <x:row r="90" ht="14.600000381469727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4" t="str">
        <x:f t="shared" si="6"/>
      </x:c>
      <x:c r="V90" s="3"/>
      <x:c r="W90" s="5"/>
      <x:c r="X90" s="5"/>
      <x:c r="Y90" s="6" t="str">
        <x:f t="shared" si="7"/>
      </x:c>
      <x:c r="Z90" s="7"/>
      <x:c r="AA90" s="6" t="str">
        <x:f>IF(Z90="","",IF(OR(Z90&lt;0,Z90&gt;1),"Invalid rate",(1-Z90)*Assumptions!$B$7))</x:f>
      </x:c>
      <x:c r="AB90" s="5"/>
      <x:c r="AC90" s="6" t="str">
        <x:f t="shared" si="8"/>
      </x:c>
      <x:c r="AD90" s="8"/>
      <x:c r="AE90" s="3"/>
      <x:c r="AF90" s="3"/>
    </x:row>
    <x:row r="91" ht="14.600000381469727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4" t="str">
        <x:f t="shared" si="6"/>
      </x:c>
      <x:c r="V91" s="3"/>
      <x:c r="W91" s="5"/>
      <x:c r="X91" s="5"/>
      <x:c r="Y91" s="6" t="str">
        <x:f t="shared" si="7"/>
      </x:c>
      <x:c r="Z91" s="7"/>
      <x:c r="AA91" s="6" t="str">
        <x:f>IF(Z91="","",IF(OR(Z91&lt;0,Z91&gt;1),"Invalid rate",(1-Z91)*Assumptions!$B$7))</x:f>
      </x:c>
      <x:c r="AB91" s="5"/>
      <x:c r="AC91" s="6" t="str">
        <x:f t="shared" si="8"/>
      </x:c>
      <x:c r="AD91" s="8"/>
      <x:c r="AE91" s="3"/>
      <x:c r="AF91" s="3"/>
    </x:row>
    <x:row r="92" ht="14.600000381469727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4" t="str">
        <x:f t="shared" si="6"/>
      </x:c>
      <x:c r="V92" s="3"/>
      <x:c r="W92" s="5"/>
      <x:c r="X92" s="5"/>
      <x:c r="Y92" s="6" t="str">
        <x:f t="shared" si="7"/>
      </x:c>
      <x:c r="Z92" s="7"/>
      <x:c r="AA92" s="6" t="str">
        <x:f>IF(Z92="","",IF(OR(Z92&lt;0,Z92&gt;1),"Invalid rate",(1-Z92)*Assumptions!$B$7))</x:f>
      </x:c>
      <x:c r="AB92" s="5"/>
      <x:c r="AC92" s="6" t="str">
        <x:f t="shared" si="8"/>
      </x:c>
      <x:c r="AD92" s="8"/>
      <x:c r="AE92" s="3"/>
      <x:c r="AF92" s="3"/>
    </x:row>
    <x:row r="93" ht="14.600000381469727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4" t="str">
        <x:f t="shared" si="6"/>
      </x:c>
      <x:c r="V93" s="3"/>
      <x:c r="W93" s="5"/>
      <x:c r="X93" s="5"/>
      <x:c r="Y93" s="6" t="str">
        <x:f t="shared" si="7"/>
      </x:c>
      <x:c r="Z93" s="7"/>
      <x:c r="AA93" s="6" t="str">
        <x:f>IF(Z93="","",IF(OR(Z93&lt;0,Z93&gt;1),"Invalid rate",(1-Z93)*Assumptions!$B$7))</x:f>
      </x:c>
      <x:c r="AB93" s="5"/>
      <x:c r="AC93" s="6" t="str">
        <x:f t="shared" si="8"/>
      </x:c>
      <x:c r="AD93" s="8"/>
      <x:c r="AE93" s="3"/>
      <x:c r="AF93" s="3"/>
    </x:row>
    <x:row r="94" ht="14.600000381469727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4" t="str">
        <x:f t="shared" si="6"/>
      </x:c>
      <x:c r="V94" s="3"/>
      <x:c r="W94" s="5"/>
      <x:c r="X94" s="5"/>
      <x:c r="Y94" s="6" t="str">
        <x:f t="shared" si="7"/>
      </x:c>
      <x:c r="Z94" s="7"/>
      <x:c r="AA94" s="6" t="str">
        <x:f>IF(Z94="","",IF(OR(Z94&lt;0,Z94&gt;1),"Invalid rate",(1-Z94)*Assumptions!$B$7))</x:f>
      </x:c>
      <x:c r="AB94" s="5"/>
      <x:c r="AC94" s="6" t="str">
        <x:f t="shared" si="8"/>
      </x:c>
      <x:c r="AD94" s="8"/>
      <x:c r="AE94" s="3"/>
      <x:c r="AF94" s="3"/>
    </x:row>
    <x:row r="95" ht="14.600000381469727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4" t="str">
        <x:f t="shared" si="6"/>
      </x:c>
      <x:c r="V95" s="3"/>
      <x:c r="W95" s="5"/>
      <x:c r="X95" s="5"/>
      <x:c r="Y95" s="6" t="str">
        <x:f t="shared" si="7"/>
      </x:c>
      <x:c r="Z95" s="7"/>
      <x:c r="AA95" s="6" t="str">
        <x:f>IF(Z95="","",IF(OR(Z95&lt;0,Z95&gt;1),"Invalid rate",(1-Z95)*Assumptions!$B$7))</x:f>
      </x:c>
      <x:c r="AB95" s="5"/>
      <x:c r="AC95" s="6" t="str">
        <x:f t="shared" si="8"/>
      </x:c>
      <x:c r="AD95" s="8"/>
      <x:c r="AE95" s="3"/>
      <x:c r="AF95" s="3"/>
    </x:row>
    <x:row r="96" ht="14.600000381469727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4" t="str">
        <x:f t="shared" si="6"/>
      </x:c>
      <x:c r="V96" s="3"/>
      <x:c r="W96" s="5"/>
      <x:c r="X96" s="5"/>
      <x:c r="Y96" s="6" t="str">
        <x:f t="shared" si="7"/>
      </x:c>
      <x:c r="Z96" s="7"/>
      <x:c r="AA96" s="6" t="str">
        <x:f>IF(Z96="","",IF(OR(Z96&lt;0,Z96&gt;1),"Invalid rate",(1-Z96)*Assumptions!$B$7))</x:f>
      </x:c>
      <x:c r="AB96" s="5"/>
      <x:c r="AC96" s="6" t="str">
        <x:f t="shared" si="8"/>
      </x:c>
      <x:c r="AD96" s="8"/>
      <x:c r="AE96" s="3"/>
      <x:c r="AF96" s="3"/>
    </x:row>
    <x:row r="97" ht="14.60000038146972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4" t="str">
        <x:f t="shared" si="6"/>
      </x:c>
      <x:c r="V97" s="3"/>
      <x:c r="W97" s="5"/>
      <x:c r="X97" s="5"/>
      <x:c r="Y97" s="6" t="str">
        <x:f t="shared" si="7"/>
      </x:c>
      <x:c r="Z97" s="7"/>
      <x:c r="AA97" s="6" t="str">
        <x:f>IF(Z97="","",IF(OR(Z97&lt;0,Z97&gt;1),"Invalid rate",(1-Z97)*Assumptions!$B$7))</x:f>
      </x:c>
      <x:c r="AB97" s="5"/>
      <x:c r="AC97" s="6" t="str">
        <x:f t="shared" si="8"/>
      </x:c>
      <x:c r="AD97" s="8"/>
      <x:c r="AE97" s="3"/>
      <x:c r="AF97" s="3"/>
    </x:row>
    <x:row r="98" ht="14.600000381469727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4" t="str">
        <x:f t="shared" ref="U98:U101" si="9">IF(OR(S98="",T98=""),"",S98+T98)</x:f>
      </x:c>
      <x:c r="V98" s="3"/>
      <x:c r="W98" s="5"/>
      <x:c r="X98" s="5"/>
      <x:c r="Y98" s="6" t="str">
        <x:f t="shared" ref="Y98:Y101" si="10">IF(OR(S98="",T98="",W98="",X98=""),"",IF(MIN(S98,T98,W98,X98)&lt;0,"Invalid input",(S98*W98+T98*X98)/1000000))</x:f>
      </x:c>
      <x:c r="Z98" s="7"/>
      <x:c r="AA98" s="6" t="str">
        <x:f>IF(Z98="","",IF(OR(Z98&lt;0,Z98&gt;1),"Invalid rate",(1-Z98)*Assumptions!$B$7))</x:f>
      </x:c>
      <x:c r="AB98" s="5"/>
      <x:c r="AC98" s="6" t="str">
        <x:f t="shared" ref="AC98:AC101" si="11">IF(OR(Y98="",AA98="",AB98=""),"",IF(AND(ISNUMBER(Y98),ISNUMBER(AA98),AB98&gt;=0),Y98+AA98+AB98,"Invalid input"))</x:f>
      </x:c>
      <x:c r="AD98" s="8"/>
      <x:c r="AE98" s="3"/>
      <x:c r="AF98" s="3"/>
    </x:row>
    <x:row r="99" ht="14.600000381469727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4" t="str">
        <x:f t="shared" si="9"/>
      </x:c>
      <x:c r="V99" s="3"/>
      <x:c r="W99" s="5"/>
      <x:c r="X99" s="5"/>
      <x:c r="Y99" s="6" t="str">
        <x:f t="shared" si="10"/>
      </x:c>
      <x:c r="Z99" s="7"/>
      <x:c r="AA99" s="6" t="str">
        <x:f>IF(Z99="","",IF(OR(Z99&lt;0,Z99&gt;1),"Invalid rate",(1-Z99)*Assumptions!$B$7))</x:f>
      </x:c>
      <x:c r="AB99" s="5"/>
      <x:c r="AC99" s="6" t="str">
        <x:f t="shared" si="11"/>
      </x:c>
      <x:c r="AD99" s="8"/>
      <x:c r="AE99" s="3"/>
      <x:c r="AF99" s="3"/>
    </x:row>
    <x:row r="100" ht="14.600000381469727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4" t="str">
        <x:f t="shared" si="9"/>
      </x:c>
      <x:c r="V100" s="3"/>
      <x:c r="W100" s="5"/>
      <x:c r="X100" s="5"/>
      <x:c r="Y100" s="6" t="str">
        <x:f t="shared" si="10"/>
      </x:c>
      <x:c r="Z100" s="7"/>
      <x:c r="AA100" s="6" t="str">
        <x:f>IF(Z100="","",IF(OR(Z100&lt;0,Z100&gt;1),"Invalid rate",(1-Z100)*Assumptions!$B$7))</x:f>
      </x:c>
      <x:c r="AB100" s="5"/>
      <x:c r="AC100" s="6" t="str">
        <x:f t="shared" si="11"/>
      </x:c>
      <x:c r="AD100" s="8"/>
      <x:c r="AE100" s="3"/>
      <x:c r="AF100" s="3"/>
    </x:row>
    <x:row r="101" ht="14.600000381469727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4" t="str">
        <x:f t="shared" si="9"/>
      </x:c>
      <x:c r="V101" s="3"/>
      <x:c r="W101" s="5"/>
      <x:c r="X101" s="5"/>
      <x:c r="Y101" s="6" t="str">
        <x:f t="shared" si="10"/>
      </x:c>
      <x:c r="Z101" s="7"/>
      <x:c r="AA101" s="6" t="str">
        <x:f>IF(Z101="","",IF(OR(Z101&lt;0,Z101&gt;1),"Invalid rate",(1-Z101)*Assumptions!$B$7))</x:f>
      </x:c>
      <x:c r="AB101" s="5"/>
      <x:c r="AC101" s="6" t="str">
        <x:f t="shared" si="11"/>
      </x:c>
      <x:c r="AD101" s="8"/>
      <x:c r="AE101" s="3"/>
      <x:c r="AF101" s="3"/>
    </x:row>
  </x:sheetData>
  <x:mergeCells>
    <x:mergeCell ref="A1:AF1"/>
    <x:mergeCell ref="A2:A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149999618530273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3" hidden="0" customWidth="1"/>
    <x:col min="8" max="8" width="13" hidden="0" customWidth="1"/>
    <x:col min="9" max="9" width="15" hidden="0" customWidth="1"/>
    <x:col min="10" max="10" width="15" hidden="0" customWidth="1"/>
    <x:col min="11" max="11" width="17" hidden="0" customWidth="1"/>
    <x:col min="12" max="12" width="33" hidden="0" customWidth="1"/>
  </x:cols>
  <x:sheetData>
    <x:row r="1" ht="26" customHeight="1">
      <x:c r="A1" s="134" t="str">
        <x:v>D5(b) Live Model Cost Comparison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</x:row>
    <x:row r="2" ht="34" customHeight="1">
      <x:c r="A2" s="84" t="str">
        <x:v>All five live models report the same 40-case, 60-trial D5(b) battery. Expected fallback = (1 − complete-record accuracy) × $7.60. Operating cost is $0 because the brief provides no quantified infrastructure charge.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 ht="14.600000381469727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</x:row>
    <x:row r="4" ht="31" customHeight="1">
      <x:c r="A4" s="67" t="str">
        <x:v>Model</x:v>
      </x:c>
      <x:c r="B4" s="67" t="str">
        <x:v>Trials</x:v>
      </x:c>
      <x:c r="C4" s="67" t="str">
        <x:v>Decision accuracy</x:v>
      </x:c>
      <x:c r="D4" s="67" t="str">
        <x:v>Complete-record accuracy</x:v>
      </x:c>
      <x:c r="E4" s="67" t="str">
        <x:v>Avg input tokens</x:v>
      </x:c>
      <x:c r="F4" s="67" t="str">
        <x:v>Avg output tokens</x:v>
      </x:c>
      <x:c r="G4" s="67" t="str">
        <x:v>Input $/M</x:v>
      </x:c>
      <x:c r="H4" s="67" t="str">
        <x:v>Output $/M</x:v>
      </x:c>
      <x:c r="I4" s="67" t="str">
        <x:v>Avg AI cost</x:v>
      </x:c>
      <x:c r="J4" s="67" t="str">
        <x:v>Cost/claim</x:v>
      </x:c>
      <x:c r="K4" s="67" t="str">
        <x:v>Monthly cost</x:v>
      </x:c>
      <x:c r="L4" s="67" t="str">
        <x:v>Evidence status</x:v>
      </x:c>
    </x:row>
    <x:row r="5" ht="14.600000381469727">
      <x:c r="A5" s="70" t="str">
        <x:v>openai/gpt-5.6-luna</x:v>
      </x:c>
      <x:c r="B5" s="70" t="n">
        <x:v>60</x:v>
      </x:c>
      <x:c r="C5" s="71" t="n">
        <x:v>0.8333333333</x:v>
      </x:c>
      <x:c r="D5" s="71" t="n">
        <x:v>0.8</x:v>
      </x:c>
      <x:c r="E5" s="73" t="n">
        <x:v>7664.2</x:v>
      </x:c>
      <x:c r="F5" s="73" t="n">
        <x:v>522.83</x:v>
      </x:c>
      <x:c r="G5" s="75" t="n">
        <x:v>0.2</x:v>
      </x:c>
      <x:c r="H5" s="75" t="n">
        <x:v>1.2</x:v>
      </x:c>
      <x:c r="I5" s="77" t="n">
        <x:f>(E5*G5+F5*H5)/1000000</x:f>
        <x:v>0.0021602360000000003</x:v>
      </x:c>
      <x:c r="J5" s="77" t="n">
        <x:f>I5+(1-D5)*Assumptions!$B$7+Assumptions!$B$11</x:f>
        <x:v>1.5221602359999995</x:v>
      </x:c>
      <x:c r="K5" s="79" t="n">
        <x:f>J5*Assumptions!$B$8</x:f>
        <x:v>12177.281887999996</x:v>
      </x:c>
      <x:c r="L5" s="70" t="str">
        <x:v>Summary + saved notebook output</x:v>
      </x:c>
    </x:row>
    <x:row r="6" ht="14.600000381469727">
      <x:c r="A6" s="69" t="str">
        <x:v>z-ai/glm-5.3-flash</x:v>
      </x:c>
      <x:c r="B6" s="69" t="n">
        <x:v>60</x:v>
      </x:c>
      <x:c r="C6" s="72" t="n">
        <x:v>0.75</x:v>
      </x:c>
      <x:c r="D6" s="72" t="n">
        <x:v>0.7333333333</x:v>
      </x:c>
      <x:c r="E6" s="74" t="n">
        <x:v>9531.9</x:v>
      </x:c>
      <x:c r="F6" s="74" t="n">
        <x:v>1209.93</x:v>
      </x:c>
      <x:c r="G6" s="76" t="n">
        <x:v>0.075</x:v>
      </x:c>
      <x:c r="H6" s="76" t="n">
        <x:v>0.25</x:v>
      </x:c>
      <x:c r="I6" s="78" t="n">
        <x:f>(E6*G6+F6*H6)/1000000</x:f>
        <x:v>0.001017375</x:v>
      </x:c>
      <x:c r="J6" s="78" t="n">
        <x:f>I6+(1-D6)*Assumptions!$B$7+Assumptions!$B$11</x:f>
        <x:v>2.02768404192</x:v>
      </x:c>
      <x:c r="K6" s="80" t="n">
        <x:f>J6*Assumptions!$B$8</x:f>
        <x:v>16221.472335360002</x:v>
      </x:c>
      <x:c r="L6" s="69" t="str">
        <x:v>Verified 40 cases / 60 rows in notebook</x:v>
      </x:c>
    </x:row>
    <x:row r="7" ht="14.600000381469727">
      <x:c r="A7" s="69" t="str">
        <x:v>deepseek/deepseek-v4-flash</x:v>
      </x:c>
      <x:c r="B7" s="69" t="n">
        <x:v>60</x:v>
      </x:c>
      <x:c r="C7" s="72" t="n">
        <x:v>0.6833333333333333</x:v>
      </x:c>
      <x:c r="D7" s="72" t="n">
        <x:v>0.65</x:v>
      </x:c>
      <x:c r="E7" s="74" t="n">
        <x:v>13725.42</x:v>
      </x:c>
      <x:c r="F7" s="74" t="n">
        <x:v>1521.45</x:v>
      </x:c>
      <x:c r="G7" s="76" t="n">
        <x:v>0.0679</x:v>
      </x:c>
      <x:c r="H7" s="76" t="n">
        <x:v>0.168</x:v>
      </x:c>
      <x:c r="I7" s="78" t="n">
        <x:f>(E7*G7+F7*H7)/1000000</x:f>
        <x:v>0.0011875596180000003</x:v>
      </x:c>
      <x:c r="J7" s="78" t="n">
        <x:f>I7+(1-D7)*Assumptions!$B$7+Assumptions!$B$11</x:f>
        <x:v>2.661187559618</x:v>
      </x:c>
      <x:c r="K7" s="80" t="n">
        <x:f>J7*Assumptions!$B$8</x:f>
        <x:v>21289.500476944</x:v>
      </x:c>
      <x:c r="L7" s="69" t="str">
        <x:v>D5b DeepSeek summary CSV</x:v>
      </x:c>
    </x:row>
    <x:row r="8" ht="14.600000381469727">
      <x:c r="A8" s="69" t="str">
        <x:v>inception/mercury-2.5</x:v>
      </x:c>
      <x:c r="B8" s="69" t="n">
        <x:v>60</x:v>
      </x:c>
      <x:c r="C8" s="72" t="n">
        <x:v>0.6833333333</x:v>
      </x:c>
      <x:c r="D8" s="72" t="n">
        <x:v>0.6333333333</x:v>
      </x:c>
      <x:c r="E8" s="74" t="n">
        <x:v>14205.33</x:v>
      </x:c>
      <x:c r="F8" s="74" t="n">
        <x:v>1445.52</x:v>
      </x:c>
      <x:c r="G8" s="76" t="n">
        <x:v>0.04</x:v>
      </x:c>
      <x:c r="H8" s="76" t="n">
        <x:v>0.15</x:v>
      </x:c>
      <x:c r="I8" s="78" t="n">
        <x:f>(E8*G8+F8*H8)/1000000</x:f>
        <x:v>0.0007850412</x:v>
      </x:c>
      <x:c r="J8" s="78" t="n">
        <x:f>I8+(1-D8)*Assumptions!$B$7+Assumptions!$B$11</x:f>
        <x:v>2.78745170812</x:v>
      </x:c>
      <x:c r="K8" s="80" t="n">
        <x:f>J8*Assumptions!$B$8</x:f>
        <x:v>22299.613664959998</x:v>
      </x:c>
      <x:c r="L8" s="69" t="str">
        <x:v>Summary CSV + saved notebook output</x:v>
      </x:c>
    </x:row>
    <x:row r="9" ht="14.600000381469727">
      <x:c r="A9" s="69" t="str">
        <x:v>qwen/qwen-2.5-7b-instruct</x:v>
      </x:c>
      <x:c r="B9" s="69" t="n">
        <x:v>60</x:v>
      </x:c>
      <x:c r="C9" s="72" t="n">
        <x:v>0.616667</x:v>
      </x:c>
      <x:c r="D9" s="72" t="n">
        <x:v>0.55</x:v>
      </x:c>
      <x:c r="E9" s="74" t="n">
        <x:v>15243.55</x:v>
      </x:c>
      <x:c r="F9" s="74" t="n">
        <x:v>399.2</x:v>
      </x:c>
      <x:c r="G9" s="76" t="n">
        <x:v>0.1</x:v>
      </x:c>
      <x:c r="H9" s="76" t="n">
        <x:v>0.4</x:v>
      </x:c>
      <x:c r="I9" s="182" t="n">
        <x:f>(E9*G9+F9*H9)/1000000</x:f>
        <x:v>0.0016840350000000002</x:v>
      </x:c>
      <x:c r="J9" s="182" t="n">
        <x:f>I9+(1-D9)*Assumptions!$B$7+Assumptions!$B$11</x:f>
        <x:v>3.4216840349999993</x:v>
      </x:c>
      <x:c r="K9" s="80" t="n">
        <x:f>J9*Assumptions!$B$8</x:f>
        <x:v>27373.472279999994</x:v>
      </x:c>
      <x:c r="L9" s="69" t="str">
        <x:v>Pavan notebook output; V2 row, 60 trials</x:v>
      </x:c>
    </x:row>
    <x:row r="10" ht="14.600000381469727">
      <x:c r="A10" s="121" t="str">
        <x:v>Recommendation: GPT-5.6 Luna. Across five live models, its 80.0% complete-record accuracy lowers expected human fallback enough to produce the lowest monthly cost.</x:v>
      </x:c>
      <x:c r="B10" s="121"/>
      <x:c r="C10" s="121"/>
      <x:c r="D10" s="121"/>
      <x:c r="E10" s="121"/>
      <x:c r="F10" s="121"/>
      <x:c r="G10" s="121"/>
      <x:c r="H10" s="121"/>
      <x:c r="I10" s="121"/>
      <x:c r="J10" s="121"/>
      <x:c r="K10" s="121"/>
      <x:c r="L10" s="121"/>
    </x:row>
    <x:row r="11" ht="14.600000381469727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</x:row>
    <x:row r="12" ht="50.04999923706055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</x:row>
    <x:row r="13" ht="31" customHeight="1">
      <x:c r="A13" s="67" t="str">
        <x:v>Cost lever</x:v>
      </x:c>
      <x:c r="B13" s="67" t="str">
        <x:v>Baseline</x:v>
      </x:c>
      <x:c r="C13" s="67" t="str">
        <x:v>Improved</x:v>
      </x:c>
      <x:c r="D13" s="67" t="str">
        <x:v>Absolute change</x:v>
      </x:c>
      <x:c r="E13" s="67" t="str">
        <x:v>% change</x:v>
      </x:c>
      <x:c r="F13" s="67" t="str">
        <x:v>Measured evidence</x:v>
      </x:c>
      <x:c r="G13" s="69"/>
      <x:c r="H13" s="69"/>
      <x:c r="I13" s="69"/>
      <x:c r="J13" s="69"/>
      <x:c r="K13" s="69"/>
      <x:c r="L13" s="69"/>
    </x:row>
    <x:row r="14" ht="60" customHeight="1">
      <x:c r="A14" s="69" t="str">
        <x:v>Tool block size B (tokens/turn)</x:v>
      </x:c>
      <x:c r="B14" s="69" t="n">
        <x:v>225</x:v>
      </x:c>
      <x:c r="C14" s="69" t="n">
        <x:v>225</x:v>
      </x:c>
      <x:c r="D14" s="85" t="n">
        <x:f>C14-B14</x:f>
        <x:v>0</x:v>
      </x:c>
      <x:c r="E14" s="72" t="n">
        <x:f>IF(B14=0,"",D14/B14)</x:f>
        <x:v>0</x:v>
      </x:c>
      <x:c r="F14" s="84" t="str">
        <x:v>D2(a): final measured block held constant; repeated exposure was 2,700 sequential vs 1,125 batch tokens in the illustration</x:v>
      </x:c>
      <x:c r="G14" s="69"/>
      <x:c r="H14" s="69"/>
      <x:c r="I14" s="69"/>
      <x:c r="J14" s="69"/>
      <x:c r="K14" s="69"/>
      <x:c r="L14" s="69"/>
    </x:row>
    <x:row r="15" ht="60" customHeight="1">
      <x:c r="A15" s="69" t="str">
        <x:v>Turn count T (turns/run)</x:v>
      </x:c>
      <x:c r="B15" s="69" t="n">
        <x:v>6.1</x:v>
      </x:c>
      <x:c r="C15" s="69" t="n">
        <x:v>3.85</x:v>
      </x:c>
      <x:c r="D15" s="85" t="n">
        <x:f>C15-B15</x:f>
        <x:v>-2.2499999999999996</x:v>
      </x:c>
      <x:c r="E15" s="72" t="n">
        <x:f>IF(B15=0,"",D15/B15)</x:f>
        <x:v>-0.3688524590163934</x:v>
      </x:c>
      <x:c r="F15" s="84" t="str">
        <x:v>D2(c): sequential vs parallel, same 60-trial scripted battery</x:v>
      </x:c>
      <x:c r="G15" s="69"/>
      <x:c r="H15" s="69"/>
      <x:c r="I15" s="69"/>
      <x:c r="J15" s="69"/>
      <x:c r="K15" s="69"/>
      <x:c r="L15" s="69"/>
    </x:row>
    <x:row r="16" ht="60" customHeight="1">
      <x:c r="A16" s="69" t="str">
        <x:v>Observation size D (tokens/call)</x:v>
      </x:c>
      <x:c r="B16" s="69" t="n">
        <x:v>58.03</x:v>
      </x:c>
      <x:c r="C16" s="69" t="n">
        <x:v>28.09</x:v>
      </x:c>
      <x:c r="D16" s="85" t="n">
        <x:f>C16-B16</x:f>
        <x:v>-29.94</x:v>
      </x:c>
      <x:c r="E16" s="72" t="n">
        <x:f>IF(B16=0,"",D16/B16)</x:f>
        <x:v>-0.5159400310184388</x:v>
      </x:c>
      <x:c r="F16" s="84" t="str">
        <x:v>D7 tool-interface before vs after; return shape compressed and pass rate rose from 88.3% to 100%</x:v>
      </x:c>
      <x:c r="G16" s="69"/>
      <x:c r="H16" s="69"/>
      <x:c r="I16" s="69"/>
      <x:c r="J16" s="69"/>
      <x:c r="K16" s="69"/>
      <x:c r="L16" s="69"/>
    </x:row>
    <x:row r="17" ht="60" customHeight="1">
      <x:c r="A17" s="69" t="str">
        <x:v>Success rate P</x:v>
      </x:c>
      <x:c r="B17" s="72" t="n">
        <x:v>0.4833333333</x:v>
      </x:c>
      <x:c r="C17" s="72" t="n">
        <x:v>0.6166666667</x:v>
      </x:c>
      <x:c r="D17" s="72" t="n">
        <x:f>C17-B17</x:f>
        <x:v>0.13333333340000003</x:v>
      </x:c>
      <x:c r="E17" s="72" t="n">
        <x:f>IF(B17=0,"",D17/B17)</x:f>
        <x:v>0.2758620691224733</x:v>
      </x:c>
      <x:c r="F17" s="84" t="str">
        <x:v>D2(b): V1 vs V2 decision accuracy over 60 trials each</x:v>
      </x:c>
      <x:c r="G17" s="69"/>
      <x:c r="H17" s="69"/>
      <x:c r="I17" s="69"/>
      <x:c r="J17" s="69"/>
      <x:c r="K17" s="69"/>
      <x:c r="L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</x:row>
    <x:row r="19">
      <x:c r="A19" s="122" t="str">
        <x:v>Interpretation: B was measured and held fixed, so the direct saving came from fewer turns. D and P improved together in the interface/descriptor experiments; do not claim a purely causal effect from one small study.</x:v>
      </x:c>
      <x:c r="B19" s="122"/>
      <x:c r="C19" s="122"/>
      <x:c r="D19" s="122"/>
      <x:c r="E19" s="122"/>
      <x:c r="F19" s="122"/>
      <x:c r="G19" s="69"/>
      <x:c r="H19" s="69"/>
      <x:c r="I19" s="69"/>
      <x:c r="J19" s="69"/>
      <x:c r="K19" s="69"/>
      <x:c r="L19" s="69"/>
    </x:row>
  </x:sheetData>
  <x:mergeCells>
    <x:mergeCell ref="A1:L1"/>
    <x:mergeCell ref="A19:F19"/>
    <x:mergeCell ref="A2:L2"/>
    <x:mergeCell ref="A10:L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149999618530273"/>
  <x:cols>
    <x:col min="1" max="1" width="18" hidden="0" customWidth="1"/>
    <x:col min="2" max="6" width="19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6" customHeight="1">
      <x:c r="A1" s="48" t="str">
        <x:v>GPT-5.6 Luna Success-Rate Sensitivity</x:v>
      </x:c>
      <x:c r="B1" s="48"/>
      <x:c r="C1" s="48"/>
      <x:c r="D1" s="48"/>
      <x:c r="E1" s="48"/>
      <x:c r="F1" s="48"/>
    </x:row>
    <x:row r="2" ht="34" customHeight="1">
      <x:c r="A2" s="103" t="str">
        <x:v>Low/base/high complete-record accuracy = 70% / 80% / 90%. Token cost stays at the measured average so the table isolates P.</x:v>
      </x:c>
      <x:c r="B2" s="84"/>
      <x:c r="C2" s="84"/>
      <x:c r="D2" s="84"/>
      <x:c r="E2" s="84"/>
      <x:c r="F2" s="84"/>
    </x:row>
    <x:row r="3" ht="14.600000381469727">
      <x:c r="A3" s="84"/>
      <x:c r="B3" s="84"/>
      <x:c r="C3" s="84"/>
      <x:c r="D3" s="84"/>
      <x:c r="E3" s="84"/>
      <x:c r="F3" s="84"/>
    </x:row>
    <x:row r="4" ht="38.04999923706055" customHeight="1">
      <x:c r="A4" s="106" t="s">
        <x:v>68</x:v>
      </x:c>
      <x:c r="B4" s="106" t="s">
        <x:v>69</x:v>
      </x:c>
      <x:c r="C4" s="106" t="s">
        <x:v>70</x:v>
      </x:c>
      <x:c r="D4" s="106" t="s">
        <x:v>71</x:v>
      </x:c>
      <x:c r="E4" s="106" t="s">
        <x:v>72</x:v>
      </x:c>
      <x:c r="F4" s="106" t="s">
        <x:v>73</x:v>
      </x:c>
    </x:row>
    <x:row r="5" ht="14.600000381469727">
      <x:c r="A5" s="53" t="s">
        <x:v>74</x:v>
      </x:c>
      <x:c r="B5" s="123" t="n">
        <x:f>Assumptions!$B$9-Assumptions!$B$12</x:f>
        <x:v>0.7000000000000001</x:v>
      </x:c>
      <x:c r="C5" s="124" t="n">
        <x:f>Assumptions!$B$10</x:f>
        <x:v>0.002160236</x:v>
      </x:c>
      <x:c r="D5" s="124" t="n">
        <x:f>(1-B5)*Assumptions!$B$7</x:f>
        <x:v>2.2799999999999994</x:v>
      </x:c>
      <x:c r="E5" s="124" t="n">
        <x:f>C5+D5+Assumptions!$B$11</x:f>
        <x:v>2.2821602359999993</x:v>
      </x:c>
      <x:c r="F5" s="125" t="n">
        <x:f>E5*Assumptions!$B$8</x:f>
        <x:v>18257.281887999994</x:v>
      </x:c>
    </x:row>
    <x:row r="6" ht="14.600000381469727">
      <x:c r="A6" s="53" t="s">
        <x:v>75</x:v>
      </x:c>
      <x:c r="B6" s="123" t="n">
        <x:f>Assumptions!$B$9</x:f>
        <x:v>0.8</x:v>
      </x:c>
      <x:c r="C6" s="124" t="n">
        <x:f>Assumptions!$B$10</x:f>
        <x:v>0.002160236</x:v>
      </x:c>
      <x:c r="D6" s="124" t="n">
        <x:f>(1-B6)*Assumptions!$B$7</x:f>
        <x:v>1.5199999999999996</x:v>
      </x:c>
      <x:c r="E6" s="124" t="n">
        <x:f>C6+D6+Assumptions!$B$11</x:f>
        <x:v>1.5221602359999995</x:v>
      </x:c>
      <x:c r="F6" s="125" t="n">
        <x:f>E6*Assumptions!$B$8</x:f>
        <x:v>12177.281887999996</x:v>
      </x:c>
    </x:row>
    <x:row r="7" ht="14.600000381469727">
      <x:c r="A7" s="53" t="s">
        <x:v>76</x:v>
      </x:c>
      <x:c r="B7" s="123" t="n">
        <x:f>Assumptions!$B$9+Assumptions!$B$12</x:f>
        <x:v>0.9</x:v>
      </x:c>
      <x:c r="C7" s="124" t="n">
        <x:f>Assumptions!$B$10</x:f>
        <x:v>0.002160236</x:v>
      </x:c>
      <x:c r="D7" s="124" t="n">
        <x:f>(1-B7)*Assumptions!$B$7</x:f>
        <x:v>0.7599999999999998</x:v>
      </x:c>
      <x:c r="E7" s="124" t="n">
        <x:f>C7+D7+Assumptions!$B$11</x:f>
        <x:v>0.7621602359999998</x:v>
      </x:c>
      <x:c r="F7" s="125" t="n">
        <x:f>E7*Assumptions!$B$8</x:f>
        <x:v>6097.281887999999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149999618530273"/>
  <x:cols>
    <x:col min="1" max="1" width="34" hidden="0" customWidth="1"/>
    <x:col min="2" max="2" width="18" hidden="0" customWidth="1"/>
    <x:col min="3" max="3" width="17" hidden="0" customWidth="1"/>
    <x:col min="4" max="4" width="47" hidden="0" customWidth="1"/>
  </x:cols>
  <x:sheetData>
    <x:row r="1" ht="26" customHeight="1">
      <x:c r="A1" s="48" t="str">
        <x:v>Qwen V2 versus GPT-5.6 Luna Break-Even</x:v>
      </x:c>
      <x:c r="B1" s="48"/>
      <x:c r="C1" s="48"/>
      <x:c r="D1" s="48"/>
    </x:row>
    <x:row r="2" ht="34" customHeight="1">
      <x:c r="A2" s="103" t="str">
        <x:v>Model comparison: Qwen token cost + expected fallback must match Luna total cost per claim. The manual baseline is shown separately.</x:v>
      </x:c>
      <x:c r="B2" s="84"/>
      <x:c r="C2" s="84"/>
      <x:c r="D2" s="84"/>
    </x:row>
    <x:row r="3" ht="14.600000381469727">
      <x:c r="A3" s="84"/>
      <x:c r="B3" s="84"/>
      <x:c r="C3" s="84"/>
      <x:c r="D3" s="84"/>
    </x:row>
    <x:row r="4" ht="38.04999923706055" customHeight="1">
      <x:c r="A4" s="106" t="s">
        <x:v>77</x:v>
      </x:c>
      <x:c r="B4" s="106" t="s">
        <x:v>78</x:v>
      </x:c>
      <x:c r="C4" s="106" t="s">
        <x:v>4</x:v>
      </x:c>
      <x:c r="D4" s="106" t="s">
        <x:v>79</x:v>
      </x:c>
    </x:row>
    <x:row r="5" ht="14.600000381469727">
      <x:c r="A5" s="53" t="str">
        <x:v>Fully manual cost per claim</x:v>
      </x:c>
      <x:c r="B5" s="126" t="n">
        <x:f>Assumptions!B13</x:f>
        <x:v>7.6</x:v>
      </x:c>
      <x:c r="C5" s="53" t="s">
        <x:v>26</x:v>
      </x:c>
      <x:c r="D5" s="53" t="str">
        <x:v>One 12-minute assessor handling per fully manual claim</x:v>
      </x:c>
    </x:row>
    <x:row r="6" ht="14.600000381469727">
      <x:c r="A6" s="53" t="str">
        <x:v>Luna AI cost per run</x:v>
      </x:c>
      <x:c r="B6" s="126" t="n">
        <x:f>Assumptions!B10</x:f>
        <x:v>0.002160236</x:v>
      </x:c>
      <x:c r="C6" s="53" t="s">
        <x:v>24</x:v>
      </x:c>
      <x:c r="D6" s="53" t="str">
        <x:v>D5b measured average</x:v>
      </x:c>
    </x:row>
    <x:row r="7" ht="14.600000381469727">
      <x:c r="A7" s="53" t="s">
        <x:v>80</x:v>
      </x:c>
      <x:c r="B7" s="126" t="n">
        <x:f>Assumptions!B11</x:f>
        <x:v>0</x:v>
      </x:c>
      <x:c r="C7" s="53" t="s">
        <x:v>26</x:v>
      </x:c>
      <x:c r="D7" s="53" t="s">
        <x:v>81</x:v>
      </x:c>
    </x:row>
    <x:row r="8" ht="29.149999618530273">
      <x:c r="A8" s="53" t="s">
        <x:v>14</x:v>
      </x:c>
      <x:c r="B8" s="126" t="n">
        <x:f>Assumptions!B7</x:f>
        <x:v>7.6</x:v>
      </x:c>
      <x:c r="C8" s="53" t="s">
        <x:v>15</x:v>
      </x:c>
      <x:c r="D8" s="53" t="s">
        <x:v>82</x:v>
      </x:c>
    </x:row>
    <x:row r="9" ht="14.600000381469727">
      <x:c r="A9" s="53" t="str">
        <x:v>Qwen V2 break-even success rate</x:v>
      </x:c>
      <x:c r="B9" s="183" t="n">
        <x:f>1-(B11-B14)/B8</x:f>
        <x:v>0.7999373419736843</x:v>
      </x:c>
      <x:c r="C9" s="53" t="s">
        <x:v>22</x:v>
      </x:c>
      <x:c r="D9" s="53" t="str">
        <x:v>Qwen accuracy required to match Luna total cost</x:v>
      </x:c>
    </x:row>
    <x:row r="10" ht="14.600000381469727">
      <x:c r="A10" s="53" t="str">
        <x:v>Monthly cost at model break-even</x:v>
      </x:c>
      <x:c r="B10" s="128" t="n">
        <x:f>B11*Assumptions!B8</x:f>
        <x:v>12177.281887999996</x:v>
      </x:c>
      <x:c r="C10" s="53" t="s">
        <x:v>83</x:v>
      </x:c>
      <x:c r="D10" s="53" t="str">
        <x:v>Matches Luna monthly cost at break-even</x:v>
      </x:c>
    </x:row>
    <x:row r="11" ht="23" customHeight="1">
      <x:c r="A11" s="84" t="str">
        <x:v>Luna expected cost per claim</x:v>
      </x:c>
      <x:c r="B11" s="132" t="n">
        <x:f>Assumptions!B10+(1-Assumptions!B9)*Assumptions!B7+Assumptions!B11</x:f>
        <x:v>1.5221602359999995</x:v>
      </x:c>
      <x:c r="C11" s="84" t="str">
        <x:v>USD/claim</x:v>
      </x:c>
      <x:c r="D11" s="84" t="str">
        <x:v>At measured complete-record accuracy</x:v>
      </x:c>
    </x:row>
    <x:row r="12" ht="23" customHeight="1">
      <x:c r="A12" s="84" t="str">
        <x:v>Luna monthly cost</x:v>
      </x:c>
      <x:c r="B12" s="133" t="n">
        <x:f>B11*Assumptions!B8</x:f>
        <x:v>12177.281887999996</x:v>
      </x:c>
      <x:c r="C12" s="84" t="str">
        <x:v>USD/month</x:v>
      </x:c>
      <x:c r="D12" s="84" t="str">
        <x:v>8,000 claims</x:v>
      </x:c>
    </x:row>
    <x:row r="13" ht="23" customHeight="1">
      <x:c r="A13" s="69" t="str">
        <x:v>Maximum added fixed operating cost</x:v>
      </x:c>
      <x:c r="B13" s="80" t="n">
        <x:f>Assumptions!B13*Assumptions!B8-B12</x:f>
        <x:v>48622.718112</x:v>
      </x:c>
      <x:c r="C13" s="69" t="str">
        <x:v>USD/month</x:v>
      </x:c>
      <x:c r="D13" s="69" t="str">
        <x:v>Monthly headroom before matching fully manual cost</x:v>
      </x:c>
    </x:row>
    <x:row r="14">
      <x:c r="A14" s="69" t="str">
        <x:v>Qwen V2 AI cost per run</x:v>
      </x:c>
      <x:c r="B14" s="78" t="n">
        <x:f>'Model Summary'!I9</x:f>
        <x:v>0.0016840350000000002</x:v>
      </x:c>
      <x:c r="C14" s="69" t="str">
        <x:v>USD/run</x:v>
      </x:c>
      <x:c r="D14" s="69" t="str">
        <x:v>D5b V2 summary, linked from Model Summary</x:v>
      </x:c>
    </x:row>
    <x:row r="15">
      <x:c r="A15" s="122" t="str">
        <x:v>Qwen V2 needs 79.99% complete-record accuracy to match Luna; its measured rate is 55.0%. The $7.60 manual baseline is a separate comparison. Operating cost is unquantified.</x:v>
      </x:c>
      <x:c r="B15" s="122"/>
      <x:c r="C15" s="122"/>
      <x:c r="D15" s="122"/>
    </x:row>
  </x:sheetData>
  <x:mergeCells>
    <x:mergeCell ref="A1:D1"/>
    <x:mergeCell ref="A2:D2"/>
    <x:mergeCell ref="A15:D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149999618530273"/>
  <x:cols>
    <x:col min="1" max="1" width="76.85546875" customWidth="1"/>
    <x:col min="2" max="2" width="10.85546875" customWidth="1"/>
    <x:col min="3" max="6" width="34" customWidth="1"/>
    <x:col min="7" max="7" width="11.2109375" customWidth="1"/>
    <x:col min="8" max="9" width="32" customWidth="1"/>
    <x:col min="10" max="10" width="8.85546875" customWidth="1"/>
    <x:col min="11" max="11" width="13.640625" customWidth="1"/>
    <x:col min="12" max="12" width="32" customWidth="1"/>
  </x:cols>
  <x:sheetData>
    <x:row r="1" ht="30" customHeight="1">
      <x:c r="A1" s="20" t="s">
        <x:v>84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 ht="34" customHeight="1">
      <x:c r="A2" s="22" t="s">
        <x:v>85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4.600000381469727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38.04999923706055" customHeight="1">
      <x:c r="A4" s="2" t="s">
        <x:v>37</x:v>
      </x:c>
      <x:c r="B4" s="2" t="s">
        <x:v>86</x:v>
      </x:c>
      <x:c r="C4" s="2" t="s">
        <x:v>87</x:v>
      </x:c>
      <x:c r="D4" s="2" t="s">
        <x:v>88</x:v>
      </x:c>
      <x:c r="E4" s="2" t="s">
        <x:v>89</x:v>
      </x:c>
      <x:c r="F4" s="2" t="s">
        <x:v>90</x:v>
      </x:c>
      <x:c r="G4" s="2" t="s">
        <x:v>40</x:v>
      </x:c>
      <x:c r="H4" s="2" t="s">
        <x:v>91</x:v>
      </x:c>
      <x:c r="I4" s="2" t="s">
        <x:v>92</x:v>
      </x:c>
      <x:c r="J4" s="2" t="s">
        <x:v>93</x:v>
      </x:c>
      <x:c r="K4" s="2" t="s">
        <x:v>94</x:v>
      </x:c>
      <x:c r="L4" s="2" t="s">
        <x:v>67</x:v>
      </x:c>
    </x:row>
    <x:row r="5" ht="90" customHeight="1">
      <x:c r="A5" s="3" t="s">
        <x:v>95</x:v>
      </x:c>
      <x:c r="B5" s="3" t="s">
        <x:v>96</x:v>
      </x:c>
      <x:c r="C5" s="3" t="s">
        <x:v>97</x:v>
      </x:c>
      <x:c r="D5" s="3" t="s">
        <x:v>98</x:v>
      </x:c>
      <x:c r="E5" s="3" t="s">
        <x:v>99</x:v>
      </x:c>
      <x:c r="F5" s="3" t="s">
        <x:v>100</x:v>
      </x:c>
      <x:c r="G5" s="9" t="b">
        <x:v>0</x:v>
      </x:c>
      <x:c r="H5" s="3" t="s">
        <x:v>101</x:v>
      </x:c>
      <x:c r="I5" s="3" t="s">
        <x:v>102</x:v>
      </x:c>
      <x:c r="J5" s="3">
        <x:v>1</x:v>
      </x:c>
      <x:c r="K5" s="3" t="s">
        <x:v>103</x:v>
      </x:c>
      <x:c r="L5" s="3" t="s">
        <x:v>104</x:v>
      </x:c>
    </x:row>
    <x:row r="6" ht="90" customHeight="1">
      <x:c r="A6" s="3" t="s">
        <x:v>105</x:v>
      </x:c>
      <x:c r="B6" s="3" t="s">
        <x:v>96</x:v>
      </x:c>
      <x:c r="C6" s="3" t="s">
        <x:v>106</x:v>
      </x:c>
      <x:c r="D6" s="3" t="s">
        <x:v>107</x:v>
      </x:c>
      <x:c r="E6" s="3" t="s">
        <x:v>99</x:v>
      </x:c>
      <x:c r="F6" s="3" t="s">
        <x:v>108</x:v>
      </x:c>
      <x:c r="G6" s="9" t="b">
        <x:v>0</x:v>
      </x:c>
      <x:c r="H6" s="3" t="s">
        <x:v>109</x:v>
      </x:c>
      <x:c r="I6" s="3" t="s">
        <x:v>110</x:v>
      </x:c>
      <x:c r="J6" s="3">
        <x:v>1</x:v>
      </x:c>
      <x:c r="K6" s="3" t="s">
        <x:v>103</x:v>
      </x:c>
      <x:c r="L6" s="3" t="s">
        <x:v>104</x:v>
      </x:c>
    </x:row>
    <x:row r="7" ht="90" customHeight="1">
      <x:c r="A7" s="3" t="s">
        <x:v>111</x:v>
      </x:c>
      <x:c r="B7" s="3" t="s">
        <x:v>96</x:v>
      </x:c>
      <x:c r="C7" s="3" t="s">
        <x:v>112</x:v>
      </x:c>
      <x:c r="D7" s="3" t="s">
        <x:v>113</x:v>
      </x:c>
      <x:c r="E7" s="3" t="s">
        <x:v>114</x:v>
      </x:c>
      <x:c r="F7" s="3" t="s">
        <x:v>115</x:v>
      </x:c>
      <x:c r="G7" s="9" t="b">
        <x:v>1</x:v>
      </x:c>
      <x:c r="H7" s="3" t="s">
        <x:v>101</x:v>
      </x:c>
      <x:c r="I7" s="3" t="s">
        <x:v>116</x:v>
      </x:c>
      <x:c r="J7" s="3">
        <x:v>3</x:v>
      </x:c>
      <x:c r="K7" s="3" t="s">
        <x:v>103</x:v>
      </x:c>
      <x:c r="L7" s="3" t="s">
        <x:v>104</x:v>
      </x:c>
    </x:row>
    <x:row r="8" ht="90" customHeight="1">
      <x:c r="A8" s="3" t="s">
        <x:v>117</x:v>
      </x:c>
      <x:c r="B8" s="3" t="s">
        <x:v>96</x:v>
      </x:c>
      <x:c r="C8" s="3" t="s">
        <x:v>118</x:v>
      </x:c>
      <x:c r="D8" s="3" t="s">
        <x:v>119</x:v>
      </x:c>
      <x:c r="E8" s="3" t="s">
        <x:v>114</x:v>
      </x:c>
      <x:c r="F8" s="3" t="s">
        <x:v>120</x:v>
      </x:c>
      <x:c r="G8" s="9" t="b">
        <x:v>1</x:v>
      </x:c>
      <x:c r="H8" s="3" t="s">
        <x:v>121</x:v>
      </x:c>
      <x:c r="I8" s="3" t="s">
        <x:v>122</x:v>
      </x:c>
      <x:c r="J8" s="3">
        <x:v>3</x:v>
      </x:c>
      <x:c r="K8" s="3" t="s">
        <x:v>103</x:v>
      </x:c>
      <x:c r="L8" s="3" t="s">
        <x:v>104</x:v>
      </x:c>
    </x:row>
    <x:row r="9" ht="90" customHeight="1">
      <x:c r="A9" s="3" t="s">
        <x:v>123</x:v>
      </x:c>
      <x:c r="B9" s="3" t="s">
        <x:v>96</x:v>
      </x:c>
      <x:c r="C9" s="3" t="s">
        <x:v>124</x:v>
      </x:c>
      <x:c r="D9" s="3" t="s">
        <x:v>125</x:v>
      </x:c>
      <x:c r="E9" s="3" t="s">
        <x:v>126</x:v>
      </x:c>
      <x:c r="F9" s="3" t="s">
        <x:v>127</x:v>
      </x:c>
      <x:c r="G9" s="9" t="b">
        <x:v>1</x:v>
      </x:c>
      <x:c r="H9" s="3" t="s">
        <x:v>128</x:v>
      </x:c>
      <x:c r="I9" s="3" t="s">
        <x:v>129</x:v>
      </x:c>
      <x:c r="J9" s="3">
        <x:v>3</x:v>
      </x:c>
      <x:c r="K9" s="3" t="s">
        <x:v>103</x:v>
      </x:c>
      <x:c r="L9" s="3" t="s">
        <x:v>104</x:v>
      </x:c>
    </x:row>
    <x:row r="10" ht="90" customHeight="1">
      <x:c r="A10" s="3" t="s">
        <x:v>130</x:v>
      </x:c>
      <x:c r="B10" s="3" t="s">
        <x:v>96</x:v>
      </x:c>
      <x:c r="C10" s="3" t="s">
        <x:v>131</x:v>
      </x:c>
      <x:c r="D10" s="3" t="s">
        <x:v>132</x:v>
      </x:c>
      <x:c r="E10" s="3" t="s">
        <x:v>99</x:v>
      </x:c>
      <x:c r="F10" s="3" t="s">
        <x:v>133</x:v>
      </x:c>
      <x:c r="G10" s="9" t="b">
        <x:v>1</x:v>
      </x:c>
      <x:c r="H10" s="3" t="s">
        <x:v>134</x:v>
      </x:c>
      <x:c r="I10" s="3" t="s">
        <x:v>135</x:v>
      </x:c>
      <x:c r="J10" s="3">
        <x:v>3</x:v>
      </x:c>
      <x:c r="K10" s="3" t="s">
        <x:v>103</x:v>
      </x:c>
      <x:c r="L10" s="3" t="s">
        <x:v>136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3" ySplit="24" topLeftCell="D25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45" hidden="0" customWidth="1"/>
  </x:cols>
  <x:sheetData>
    <x:row r="1" ht="25" customHeight="1">
      <x:c r="A1" s="137" t="str">
        <x:v>D2(b) Qwen V1 Pass Evidence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</x:row>
    <x:row r="2" ht="20" customHeight="1">
      <x:c r="A2" s="140" t="str">
        <x:v>Controlled Qwen V1 pass. Keep separate from the five-model D5(b) ranking: Pavan's Qwen V2 run is the fifth D5(b) model, while this sheet documents Quincy's individual comparison pass. Estimated cost is the notebook estimate, not a provider invoice.</x:v>
      </x:c>
      <x:c r="B2" s="140"/>
      <x:c r="C2" s="140"/>
      <x:c r="D2" s="140"/>
      <x:c r="E2" s="140"/>
      <x:c r="F2" s="140"/>
      <x:c r="G2" s="140"/>
      <x:c r="H2" s="140"/>
      <x:c r="I2" s="140"/>
      <x:c r="J2" s="140"/>
      <x:c r="K2" s="140"/>
      <x:c r="L2" s="140"/>
      <x:c r="M2" s="140"/>
      <x:c r="N2" s="140"/>
      <x:c r="O2" s="140"/>
      <x:c r="P2" s="140"/>
      <x:c r="Q2" s="140"/>
      <x:c r="R2" s="140"/>
      <x:c r="S2" s="140"/>
      <x:c r="T2" s="140"/>
      <x:c r="U2" s="140"/>
    </x:row>
    <x:row r="3">
      <x:c r="A3" s="181"/>
      <x:c r="B3" s="181"/>
      <x:c r="C3" s="181"/>
      <x:c r="D3" s="181"/>
      <x:c r="E3" s="181"/>
      <x:c r="F3" s="181"/>
      <x:c r="G3" s="181"/>
      <x:c r="H3" s="181"/>
      <x:c r="I3" s="181"/>
      <x:c r="J3" s="181"/>
      <x:c r="K3" s="181"/>
      <x:c r="L3" s="181"/>
      <x:c r="M3" s="181"/>
      <x:c r="N3" s="181"/>
      <x:c r="O3" s="181"/>
      <x:c r="P3" s="181"/>
      <x:c r="Q3" s="181"/>
      <x:c r="R3" s="181"/>
      <x:c r="S3" s="181"/>
      <x:c r="T3" s="181"/>
      <x:c r="U3" s="181"/>
    </x:row>
    <x:row r="4">
      <x:c r="A4" s="155" t="str">
        <x:v>Metric</x:v>
      </x:c>
      <x:c r="B4" s="155" t="str">
        <x:v>Value</x:v>
      </x:c>
      <x:c r="C4" s="155" t="str">
        <x:v>Unit</x:v>
      </x:c>
      <x:c r="D4" s="155" t="str">
        <x:v>Source</x:v>
      </x:c>
      <x:c r="E4" s="181"/>
      <x:c r="F4" s="181"/>
      <x:c r="G4" s="181"/>
      <x:c r="H4" s="181"/>
      <x:c r="I4" s="181"/>
      <x:c r="J4" s="181"/>
      <x:c r="K4" s="181"/>
      <x:c r="L4" s="181"/>
      <x:c r="M4" s="181"/>
      <x:c r="N4" s="181"/>
      <x:c r="O4" s="181"/>
      <x:c r="P4" s="181"/>
      <x:c r="Q4" s="181"/>
      <x:c r="R4" s="181"/>
      <x:c r="S4" s="181"/>
      <x:c r="T4" s="181"/>
      <x:c r="U4" s="181"/>
    </x:row>
    <x:row r="5">
      <x:c r="A5" s="156" t="str">
        <x:v>Model</x:v>
      </x:c>
      <x:c r="B5" s="156" t="str">
        <x:v>Qwen</x:v>
      </x:c>
      <x:c r="C5" s="156" t="str">
        <x:v>text</x:v>
      </x:c>
      <x:c r="D5" s="156" t="str">
        <x:v>Notebook file: Quincy_Qwen_V1_Pass.ipynb</x:v>
      </x:c>
      <x:c r="E5" s="181"/>
      <x:c r="F5" s="181"/>
      <x:c r="G5" s="181"/>
      <x:c r="H5" s="181"/>
      <x:c r="I5" s="181"/>
      <x:c r="J5" s="181"/>
      <x:c r="K5" s="181"/>
      <x:c r="L5" s="181"/>
      <x:c r="M5" s="181"/>
      <x:c r="N5" s="181"/>
      <x:c r="O5" s="181"/>
      <x:c r="P5" s="181"/>
      <x:c r="Q5" s="181"/>
      <x:c r="R5" s="181"/>
      <x:c r="S5" s="181"/>
      <x:c r="T5" s="181"/>
      <x:c r="U5" s="181"/>
    </x:row>
    <x:row r="6">
      <x:c r="A6" s="156" t="str">
        <x:v>Version</x:v>
      </x:c>
      <x:c r="B6" s="156" t="str">
        <x:v>V1</x:v>
      </x:c>
      <x:c r="C6" s="156" t="str">
        <x:v>text</x:v>
      </x:c>
      <x:c r="D6" s="156" t="str">
        <x:v>Controlled comparison pass</x:v>
      </x:c>
      <x:c r="E6" s="181"/>
      <x:c r="F6" s="181"/>
      <x:c r="G6" s="181"/>
      <x:c r="H6" s="181"/>
      <x:c r="I6" s="181"/>
      <x:c r="J6" s="181"/>
      <x:c r="K6" s="181"/>
      <x:c r="L6" s="181"/>
      <x:c r="M6" s="181"/>
      <x:c r="N6" s="181"/>
      <x:c r="O6" s="181"/>
      <x:c r="P6" s="181"/>
      <x:c r="Q6" s="181"/>
      <x:c r="R6" s="181"/>
      <x:c r="S6" s="181"/>
      <x:c r="T6" s="181"/>
      <x:c r="U6" s="181"/>
    </x:row>
    <x:row r="7">
      <x:c r="A7" s="156" t="str">
        <x:v>Trials</x:v>
      </x:c>
      <x:c r="B7" s="156" t="n">
        <x:f>COUNTA(A25:A84)</x:f>
        <x:v>60</x:v>
      </x:c>
      <x:c r="C7" s="156" t="str">
        <x:v>runs</x:v>
      </x:c>
      <x:c r="D7" s="156" t="str">
        <x:v>case_results.csv</x:v>
      </x:c>
      <x:c r="E7" s="181"/>
      <x:c r="F7" s="181"/>
      <x:c r="G7" s="181"/>
      <x:c r="H7" s="181"/>
      <x:c r="I7" s="181"/>
      <x:c r="J7" s="181"/>
      <x:c r="K7" s="181"/>
      <x:c r="L7" s="181"/>
      <x:c r="M7" s="181"/>
      <x:c r="N7" s="181"/>
      <x:c r="O7" s="181"/>
      <x:c r="P7" s="181"/>
      <x:c r="Q7" s="181"/>
      <x:c r="R7" s="181"/>
      <x:c r="S7" s="181"/>
      <x:c r="T7" s="181"/>
      <x:c r="U7" s="181"/>
    </x:row>
    <x:row r="8">
      <x:c r="A8" s="156" t="str">
        <x:v>Decision accuracy</x:v>
      </x:c>
      <x:c r="B8" s="166" t="n">
        <x:f>AVERAGE(D25:D84)</x:f>
        <x:v>0.45</x:v>
      </x:c>
      <x:c r="C8" s="156" t="str">
        <x:v>%</x:v>
      </x:c>
      <x:c r="D8" s="156" t="str">
        <x:v>case_results.csv</x:v>
      </x:c>
      <x:c r="E8" s="181"/>
      <x:c r="F8" s="181"/>
      <x:c r="G8" s="181"/>
      <x:c r="H8" s="181"/>
      <x:c r="I8" s="181"/>
      <x:c r="J8" s="181"/>
      <x:c r="K8" s="181"/>
      <x:c r="L8" s="181"/>
      <x:c r="M8" s="181"/>
      <x:c r="N8" s="181"/>
      <x:c r="O8" s="181"/>
      <x:c r="P8" s="181"/>
      <x:c r="Q8" s="181"/>
      <x:c r="R8" s="181"/>
      <x:c r="S8" s="181"/>
      <x:c r="T8" s="181"/>
      <x:c r="U8" s="181"/>
    </x:row>
    <x:row r="9">
      <x:c r="A9" s="156" t="str">
        <x:v>Complete-record accuracy</x:v>
      </x:c>
      <x:c r="B9" s="166" t="n">
        <x:f>AVERAGE(H25:H84)</x:f>
        <x:v>0.4166666666666667</x:v>
      </x:c>
      <x:c r="C9" s="156" t="str">
        <x:v>%</x:v>
      </x:c>
      <x:c r="D9" s="156" t="str">
        <x:v>case_results.csv</x:v>
      </x:c>
      <x:c r="E9" s="181"/>
      <x:c r="F9" s="181"/>
      <x:c r="G9" s="181"/>
      <x:c r="H9" s="181"/>
      <x:c r="I9" s="181"/>
      <x:c r="J9" s="181"/>
      <x:c r="K9" s="181"/>
      <x:c r="L9" s="181"/>
      <x:c r="M9" s="181"/>
      <x:c r="N9" s="181"/>
      <x:c r="O9" s="181"/>
      <x:c r="P9" s="181"/>
      <x:c r="Q9" s="181"/>
      <x:c r="R9" s="181"/>
      <x:c r="S9" s="181"/>
      <x:c r="T9" s="181"/>
      <x:c r="U9" s="181"/>
    </x:row>
    <x:row r="10">
      <x:c r="A10" s="156" t="str">
        <x:v>Average tool calls</x:v>
      </x:c>
      <x:c r="B10" s="167" t="n">
        <x:f>AVERAGE(K25:K84)</x:f>
        <x:v>5.65</x:v>
      </x:c>
      <x:c r="C10" s="156" t="str">
        <x:v>calls/run</x:v>
      </x:c>
      <x:c r="D10" s="156" t="str">
        <x:v>case_results.csv</x:v>
      </x:c>
      <x:c r="E10" s="181"/>
      <x:c r="F10" s="181"/>
      <x:c r="G10" s="181"/>
      <x:c r="H10" s="181"/>
      <x:c r="I10" s="181"/>
      <x:c r="J10" s="181"/>
      <x:c r="K10" s="181"/>
      <x:c r="L10" s="181"/>
      <x:c r="M10" s="181"/>
      <x:c r="N10" s="181"/>
      <x:c r="O10" s="181"/>
      <x:c r="P10" s="181"/>
      <x:c r="Q10" s="181"/>
      <x:c r="R10" s="181"/>
      <x:c r="S10" s="181"/>
      <x:c r="T10" s="181"/>
      <x:c r="U10" s="181"/>
    </x:row>
    <x:row r="11">
      <x:c r="A11" s="156" t="str">
        <x:v>Average tool-return tokens per call</x:v>
      </x:c>
      <x:c r="B11" s="167" t="n">
        <x:f>SUM(O25:O84)/SUM(K25:K84)</x:f>
        <x:v>59.29203539823009</x:v>
      </x:c>
      <x:c r="C11" s="156" t="str">
        <x:v>tokens/call</x:v>
      </x:c>
      <x:c r="D11" s="156" t="str">
        <x:v>case_results.csv</x:v>
      </x:c>
      <x:c r="E11" s="181"/>
      <x:c r="F11" s="181"/>
      <x:c r="G11" s="181"/>
      <x:c r="H11" s="181"/>
      <x:c r="I11" s="181"/>
      <x:c r="J11" s="181"/>
      <x:c r="K11" s="181"/>
      <x:c r="L11" s="181"/>
      <x:c r="M11" s="181"/>
      <x:c r="N11" s="181"/>
      <x:c r="O11" s="181"/>
      <x:c r="P11" s="181"/>
      <x:c r="Q11" s="181"/>
      <x:c r="R11" s="181"/>
      <x:c r="S11" s="181"/>
      <x:c r="T11" s="181"/>
      <x:c r="U11" s="181"/>
    </x:row>
    <x:row r="12">
      <x:c r="A12" s="156" t="str">
        <x:v>Average input tokens</x:v>
      </x:c>
      <x:c r="B12" s="167" t="n">
        <x:f>AVERAGE(P25:P84)</x:f>
        <x:v>14721.983333333334</x:v>
      </x:c>
      <x:c r="C12" s="156" t="str">
        <x:v>tokens/run</x:v>
      </x:c>
      <x:c r="D12" s="156" t="str">
        <x:v>case_results.csv</x:v>
      </x:c>
      <x:c r="E12" s="181"/>
      <x:c r="F12" s="181"/>
      <x:c r="G12" s="181"/>
      <x:c r="H12" s="181"/>
      <x:c r="I12" s="181"/>
      <x:c r="J12" s="181"/>
      <x:c r="K12" s="181"/>
      <x:c r="L12" s="181"/>
      <x:c r="M12" s="181"/>
      <x:c r="N12" s="181"/>
      <x:c r="O12" s="181"/>
      <x:c r="P12" s="181"/>
      <x:c r="Q12" s="181"/>
      <x:c r="R12" s="181"/>
      <x:c r="S12" s="181"/>
      <x:c r="T12" s="181"/>
      <x:c r="U12" s="181"/>
    </x:row>
    <x:row r="13">
      <x:c r="A13" s="156" t="str">
        <x:v>Average output tokens</x:v>
      </x:c>
      <x:c r="B13" s="167" t="n">
        <x:f>AVERAGE(Q25:Q84)</x:f>
        <x:v>378.23333333333335</x:v>
      </x:c>
      <x:c r="C13" s="156" t="str">
        <x:v>tokens/run</x:v>
      </x:c>
      <x:c r="D13" s="156" t="str">
        <x:v>case_results.csv</x:v>
      </x:c>
      <x:c r="E13" s="181"/>
      <x:c r="F13" s="181"/>
      <x:c r="G13" s="181"/>
      <x:c r="H13" s="181"/>
      <x:c r="I13" s="181"/>
      <x:c r="J13" s="181"/>
      <x:c r="K13" s="181"/>
      <x:c r="L13" s="181"/>
      <x:c r="M13" s="181"/>
      <x:c r="N13" s="181"/>
      <x:c r="O13" s="181"/>
      <x:c r="P13" s="181"/>
      <x:c r="Q13" s="181"/>
      <x:c r="R13" s="181"/>
      <x:c r="S13" s="181"/>
      <x:c r="T13" s="181"/>
      <x:c r="U13" s="181"/>
    </x:row>
    <x:row r="14">
      <x:c r="A14" s="156" t="str">
        <x:v>Average total tokens</x:v>
      </x:c>
      <x:c r="B14" s="167" t="n">
        <x:f>AVERAGE(R25:R84)</x:f>
        <x:v>15100.216666666667</x:v>
      </x:c>
      <x:c r="C14" s="156" t="str">
        <x:v>tokens/run</x:v>
      </x:c>
      <x:c r="D14" s="156" t="str">
        <x:v>case_results.csv</x:v>
      </x:c>
      <x:c r="E14" s="181"/>
      <x:c r="F14" s="181"/>
      <x:c r="G14" s="181"/>
      <x:c r="H14" s="181"/>
      <x:c r="I14" s="181"/>
      <x:c r="J14" s="181"/>
      <x:c r="K14" s="181"/>
      <x:c r="L14" s="181"/>
      <x:c r="M14" s="181"/>
      <x:c r="N14" s="181"/>
      <x:c r="O14" s="181"/>
      <x:c r="P14" s="181"/>
      <x:c r="Q14" s="181"/>
      <x:c r="R14" s="181"/>
      <x:c r="S14" s="181"/>
      <x:c r="T14" s="181"/>
      <x:c r="U14" s="181"/>
    </x:row>
    <x:row r="15">
      <x:c r="A15" s="156" t="str">
        <x:v>Total estimated cost</x:v>
      </x:c>
      <x:c r="B15" s="168" t="n">
        <x:f>SUM(S25:S84)</x:f>
        <x:v>0.09741</x:v>
      </x:c>
      <x:c r="C15" s="156" t="str">
        <x:v>USD</x:v>
      </x:c>
      <x:c r="D15" s="156" t="str">
        <x:v>v1_v2_summary.csv</x:v>
      </x:c>
      <x:c r="E15" s="181"/>
      <x:c r="F15" s="181"/>
      <x:c r="G15" s="181"/>
      <x:c r="H15" s="181"/>
      <x:c r="I15" s="181"/>
      <x:c r="J15" s="181"/>
      <x:c r="K15" s="181"/>
      <x:c r="L15" s="181"/>
      <x:c r="M15" s="181"/>
      <x:c r="N15" s="181"/>
      <x:c r="O15" s="181"/>
      <x:c r="P15" s="181"/>
      <x:c r="Q15" s="181"/>
      <x:c r="R15" s="181"/>
      <x:c r="S15" s="181"/>
      <x:c r="T15" s="181"/>
      <x:c r="U15" s="181"/>
    </x:row>
    <x:row r="16">
      <x:c r="A16" s="156" t="str">
        <x:v>Average estimated cost</x:v>
      </x:c>
      <x:c r="B16" s="168" t="n">
        <x:f>AVERAGE(S25:S84)</x:f>
        <x:v>0.0016235</x:v>
      </x:c>
      <x:c r="C16" s="156" t="str">
        <x:v>USD/run</x:v>
      </x:c>
      <x:c r="D16" s="156" t="str">
        <x:v>case_results.csv</x:v>
      </x:c>
      <x:c r="E16" s="181"/>
      <x:c r="F16" s="181"/>
      <x:c r="G16" s="181"/>
      <x:c r="H16" s="181"/>
      <x:c r="I16" s="181"/>
      <x:c r="J16" s="181"/>
      <x:c r="K16" s="181"/>
      <x:c r="L16" s="181"/>
      <x:c r="M16" s="181"/>
      <x:c r="N16" s="181"/>
      <x:c r="O16" s="181"/>
      <x:c r="P16" s="181"/>
      <x:c r="Q16" s="181"/>
      <x:c r="R16" s="181"/>
      <x:c r="S16" s="181"/>
      <x:c r="T16" s="181"/>
      <x:c r="U16" s="181"/>
    </x:row>
    <x:row r="17">
      <x:c r="A17" s="156" t="str">
        <x:v>Average duration</x:v>
      </x:c>
      <x:c r="B17" s="169" t="n">
        <x:f>AVERAGE(T25:T84)</x:f>
        <x:v>4.650466666666669</x:v>
      </x:c>
      <x:c r="C17" s="156" t="str">
        <x:v>seconds/run</x:v>
      </x:c>
      <x:c r="D17" s="156" t="str">
        <x:v>case_results.csv</x:v>
      </x:c>
      <x:c r="E17" s="181"/>
      <x:c r="F17" s="181"/>
      <x:c r="G17" s="181"/>
      <x:c r="H17" s="181"/>
      <x:c r="I17" s="181"/>
      <x:c r="J17" s="181"/>
      <x:c r="K17" s="181"/>
      <x:c r="L17" s="181"/>
      <x:c r="M17" s="181"/>
      <x:c r="N17" s="181"/>
      <x:c r="O17" s="181"/>
      <x:c r="P17" s="181"/>
      <x:c r="Q17" s="181"/>
      <x:c r="R17" s="181"/>
      <x:c r="S17" s="181"/>
      <x:c r="T17" s="181"/>
      <x:c r="U17" s="181"/>
    </x:row>
    <x:row r="18">
      <x:c r="A18" s="152" t="str">
        <x:v>Tool errors</x:v>
      </x:c>
      <x:c r="B18" s="170" t="n">
        <x:f>SUM(L25:L84)</x:f>
        <x:v>0</x:v>
      </x:c>
      <x:c r="C18" s="152" t="str">
        <x:v>count</x:v>
      </x:c>
      <x:c r="D18" s="152" t="str">
        <x:v>case_results.csv</x:v>
      </x:c>
      <x:c r="E18" s="181"/>
      <x:c r="F18" s="181"/>
      <x:c r="G18" s="181"/>
      <x:c r="H18" s="181"/>
      <x:c r="I18" s="181"/>
      <x:c r="J18" s="181"/>
      <x:c r="K18" s="181"/>
      <x:c r="L18" s="181"/>
      <x:c r="M18" s="181"/>
      <x:c r="N18" s="181"/>
      <x:c r="O18" s="181"/>
      <x:c r="P18" s="181"/>
      <x:c r="Q18" s="181"/>
      <x:c r="R18" s="181"/>
      <x:c r="S18" s="181"/>
      <x:c r="T18" s="181"/>
      <x:c r="U18" s="181"/>
    </x:row>
    <x:row r="19">
      <x:c r="A19" s="152" t="str">
        <x:v>Repeated calls</x:v>
      </x:c>
      <x:c r="B19" s="170" t="n">
        <x:f>SUM(M25:M84)</x:f>
        <x:v>0</x:v>
      </x:c>
      <x:c r="C19" s="152" t="str">
        <x:v>count</x:v>
      </x:c>
      <x:c r="D19" s="152" t="str">
        <x:v>case_results.csv</x:v>
      </x:c>
      <x:c r="E19" s="181"/>
      <x:c r="F19" s="181"/>
      <x:c r="G19" s="181"/>
      <x:c r="H19" s="181"/>
      <x:c r="I19" s="181"/>
      <x:c r="J19" s="181"/>
      <x:c r="K19" s="181"/>
      <x:c r="L19" s="181"/>
      <x:c r="M19" s="181"/>
      <x:c r="N19" s="181"/>
      <x:c r="O19" s="181"/>
      <x:c r="P19" s="181"/>
      <x:c r="Q19" s="181"/>
      <x:c r="R19" s="181"/>
      <x:c r="S19" s="181"/>
      <x:c r="T19" s="181"/>
      <x:c r="U19" s="181"/>
    </x:row>
    <x:row r="20">
      <x:c r="A20" s="152" t="str">
        <x:v>Guardrails passed</x:v>
      </x:c>
      <x:c r="B20" s="170" t="str">
        <x:v>5/5</x:v>
      </x:c>
      <x:c r="C20" s="152" t="str">
        <x:v>cases</x:v>
      </x:c>
      <x:c r="D20" s="152" t="str">
        <x:v>guardrail_results.csv</x:v>
      </x:c>
      <x:c r="E20" s="181"/>
      <x:c r="F20" s="181"/>
      <x:c r="G20" s="181"/>
      <x:c r="H20" s="181"/>
      <x:c r="I20" s="181"/>
      <x:c r="J20" s="181"/>
      <x:c r="K20" s="181"/>
      <x:c r="L20" s="181"/>
      <x:c r="M20" s="181"/>
      <x:c r="N20" s="181"/>
      <x:c r="O20" s="181"/>
      <x:c r="P20" s="181"/>
      <x:c r="Q20" s="181"/>
      <x:c r="R20" s="181"/>
      <x:c r="S20" s="181"/>
      <x:c r="T20" s="181"/>
      <x:c r="U20" s="181"/>
    </x:row>
    <x:row r="21">
      <x:c r="A21" s="152" t="str">
        <x:v>Model-output parsing failures</x:v>
      </x:c>
      <x:c r="B21" s="170" t="n">
        <x:f>COUNTA(U25:U84)</x:f>
        <x:v>1</x:v>
      </x:c>
      <x:c r="C21" s="152" t="str">
        <x:v>count</x:v>
      </x:c>
      <x:c r="D21" s="152" t="str">
        <x:v>case_results.csv; CLM-8960 is retained</x:v>
      </x:c>
      <x:c r="E21" s="181"/>
      <x:c r="F21" s="181"/>
      <x:c r="G21" s="181"/>
      <x:c r="H21" s="181"/>
      <x:c r="I21" s="181"/>
      <x:c r="J21" s="181"/>
      <x:c r="K21" s="181"/>
      <x:c r="L21" s="181"/>
      <x:c r="M21" s="181"/>
      <x:c r="N21" s="181"/>
      <x:c r="O21" s="181"/>
      <x:c r="P21" s="181"/>
      <x:c r="Q21" s="181"/>
      <x:c r="R21" s="181"/>
      <x:c r="S21" s="181"/>
      <x:c r="T21" s="181"/>
      <x:c r="U21" s="181"/>
    </x:row>
    <x:row r="22">
      <x:c r="A22" s="181"/>
      <x:c r="B22" s="181"/>
      <x:c r="C22" s="181"/>
      <x:c r="D22" s="181"/>
      <x:c r="E22" s="181"/>
      <x:c r="F22" s="181"/>
      <x:c r="G22" s="181"/>
      <x:c r="H22" s="181"/>
      <x:c r="I22" s="181"/>
      <x:c r="J22" s="181"/>
      <x:c r="K22" s="181"/>
      <x:c r="L22" s="181"/>
      <x:c r="M22" s="181"/>
      <x:c r="N22" s="181"/>
      <x:c r="O22" s="181"/>
      <x:c r="P22" s="181"/>
      <x:c r="Q22" s="181"/>
      <x:c r="R22" s="181"/>
      <x:c r="S22" s="181"/>
      <x:c r="T22" s="181"/>
      <x:c r="U22" s="181"/>
    </x:row>
    <x:row r="23">
      <x:c r="A23" s="146" t="str">
        <x:v>Per-trial source data</x:v>
      </x:c>
      <x:c r="B23" s="146" t="str">
        <x:v>Per-trial source data</x:v>
      </x:c>
      <x:c r="C23" s="146" t="str">
        <x:v>Per-trial source data</x:v>
      </x:c>
      <x:c r="D23" s="146" t="str">
        <x:v>Per-trial source data</x:v>
      </x:c>
      <x:c r="E23" s="146" t="str">
        <x:v>Per-trial source data</x:v>
      </x:c>
      <x:c r="F23" s="146" t="str">
        <x:v>Per-trial source data</x:v>
      </x:c>
      <x:c r="G23" s="146" t="str">
        <x:v>Per-trial source data</x:v>
      </x:c>
      <x:c r="H23" s="146" t="str">
        <x:v>Per-trial source data</x:v>
      </x:c>
      <x:c r="I23" s="146" t="str">
        <x:v>Per-trial source data</x:v>
      </x:c>
      <x:c r="J23" s="146" t="str">
        <x:v>Per-trial source data</x:v>
      </x:c>
      <x:c r="K23" s="146" t="str">
        <x:v>Per-trial source data</x:v>
      </x:c>
      <x:c r="L23" s="146" t="str">
        <x:v>Per-trial source data</x:v>
      </x:c>
      <x:c r="M23" s="146" t="str">
        <x:v>Per-trial source data</x:v>
      </x:c>
      <x:c r="N23" s="146" t="str">
        <x:v>Per-trial source data</x:v>
      </x:c>
      <x:c r="O23" s="146" t="str">
        <x:v>Per-trial source data</x:v>
      </x:c>
      <x:c r="P23" s="146" t="str">
        <x:v>Per-trial source data</x:v>
      </x:c>
      <x:c r="Q23" s="146" t="str">
        <x:v>Per-trial source data</x:v>
      </x:c>
      <x:c r="R23" s="146" t="str">
        <x:v>Per-trial source data</x:v>
      </x:c>
      <x:c r="S23" s="146" t="str">
        <x:v>Per-trial source data</x:v>
      </x:c>
      <x:c r="T23" s="146" t="str">
        <x:v>Per-trial source data</x:v>
      </x:c>
      <x:c r="U23" s="146" t="str">
        <x:v>Per-trial source data</x:v>
      </x:c>
    </x:row>
    <x:row r="24" ht="32" customHeight="1">
      <x:c r="A24" s="157" t="str">
        <x:v>case_id</x:v>
      </x:c>
      <x:c r="B24" s="158" t="str">
        <x:v>version</x:v>
      </x:c>
      <x:c r="C24" s="158" t="str">
        <x:v>trial</x:v>
      </x:c>
      <x:c r="D24" s="158" t="str">
        <x:v>decision_correct</x:v>
      </x:c>
      <x:c r="E24" s="158" t="str">
        <x:v>totals_correct</x:v>
      </x:c>
      <x:c r="F24" s="158" t="str">
        <x:v>lines_complete</x:v>
      </x:c>
      <x:c r="G24" s="158" t="str">
        <x:v>trigger_correct</x:v>
      </x:c>
      <x:c r="H24" s="158" t="str">
        <x:v>record_correct</x:v>
      </x:c>
      <x:c r="I24" s="158" t="str">
        <x:v>api_rounds</x:v>
      </x:c>
      <x:c r="J24" s="158" t="str">
        <x:v>tool_turns</x:v>
      </x:c>
      <x:c r="K24" s="158" t="str">
        <x:v>tool_calls</x:v>
      </x:c>
      <x:c r="L24" s="158" t="str">
        <x:v>tool_errors</x:v>
      </x:c>
      <x:c r="M24" s="158" t="str">
        <x:v>repeated_calls</x:v>
      </x:c>
      <x:c r="N24" s="158" t="str">
        <x:v>tool_return_characters</x:v>
      </x:c>
      <x:c r="O24" s="158" t="str">
        <x:v>tool_return_tokens</x:v>
      </x:c>
      <x:c r="P24" s="158" t="str">
        <x:v>input_tokens</x:v>
      </x:c>
      <x:c r="Q24" s="158" t="str">
        <x:v>output_tokens</x:v>
      </x:c>
      <x:c r="R24" s="158" t="str">
        <x:v>total_tokens</x:v>
      </x:c>
      <x:c r="S24" s="158" t="str">
        <x:v>estimated_cost_usd</x:v>
      </x:c>
      <x:c r="T24" s="158" t="str">
        <x:v>seconds</x:v>
      </x:c>
      <x:c r="U24" s="159" t="str">
        <x:v>error</x:v>
      </x:c>
    </x:row>
    <x:row r="25">
      <x:c r="A25" s="160" t="str">
        <x:v>CLM-8842</x:v>
      </x:c>
      <x:c r="B25" s="161" t="str">
        <x:v>V1</x:v>
      </x:c>
      <x:c r="C25" s="161" t="n">
        <x:v>1</x:v>
      </x:c>
      <x:c r="D25" s="171" t="n">
        <x:v>1</x:v>
      </x:c>
      <x:c r="E25" s="171" t="n">
        <x:v>0</x:v>
      </x:c>
      <x:c r="F25" s="171" t="n">
        <x:v>1</x:v>
      </x:c>
      <x:c r="G25" s="171" t="n">
        <x:v>1</x:v>
      </x:c>
      <x:c r="H25" s="171" t="n">
        <x:v>0</x:v>
      </x:c>
      <x:c r="I25" s="173" t="n">
        <x:v>8</x:v>
      </x:c>
      <x:c r="J25" s="173" t="n">
        <x:v>7</x:v>
      </x:c>
      <x:c r="K25" s="173" t="n">
        <x:v>7</x:v>
      </x:c>
      <x:c r="L25" s="173" t="n">
        <x:v>0</x:v>
      </x:c>
      <x:c r="M25" s="173" t="n">
        <x:v>0</x:v>
      </x:c>
      <x:c r="N25" s="173" t="n">
        <x:v>1591</x:v>
      </x:c>
      <x:c r="O25" s="173" t="n">
        <x:v>532</x:v>
      </x:c>
      <x:c r="P25" s="173" t="n">
        <x:v>19581</x:v>
      </x:c>
      <x:c r="Q25" s="173" t="n">
        <x:v>483</x:v>
      </x:c>
      <x:c r="R25" s="173" t="n">
        <x:v>20064</x:v>
      </x:c>
      <x:c r="S25" s="175" t="n">
        <x:v>0.002151</x:v>
      </x:c>
      <x:c r="T25" s="177" t="n">
        <x:v>5.494</x:v>
      </x:c>
      <x:c r="U25" s="179"/>
    </x:row>
    <x:row r="26">
      <x:c r="A26" s="160" t="str">
        <x:v>CLM-8850</x:v>
      </x:c>
      <x:c r="B26" s="161" t="str">
        <x:v>V1</x:v>
      </x:c>
      <x:c r="C26" s="161" t="n">
        <x:v>1</x:v>
      </x:c>
      <x:c r="D26" s="171" t="n">
        <x:v>1</x:v>
      </x:c>
      <x:c r="E26" s="171" t="n">
        <x:v>1</x:v>
      </x:c>
      <x:c r="F26" s="171" t="n">
        <x:v>1</x:v>
      </x:c>
      <x:c r="G26" s="171" t="n">
        <x:v>1</x:v>
      </x:c>
      <x:c r="H26" s="171" t="n">
        <x:v>1</x:v>
      </x:c>
      <x:c r="I26" s="173" t="n">
        <x:v>6</x:v>
      </x:c>
      <x:c r="J26" s="173" t="n">
        <x:v>5</x:v>
      </x:c>
      <x:c r="K26" s="173" t="n">
        <x:v>5</x:v>
      </x:c>
      <x:c r="L26" s="173" t="n">
        <x:v>0</x:v>
      </x:c>
      <x:c r="M26" s="173" t="n">
        <x:v>0</x:v>
      </x:c>
      <x:c r="N26" s="173" t="n">
        <x:v>812</x:v>
      </x:c>
      <x:c r="O26" s="173" t="n">
        <x:v>265</x:v>
      </x:c>
      <x:c r="P26" s="173" t="n">
        <x:v>13371</x:v>
      </x:c>
      <x:c r="Q26" s="173" t="n">
        <x:v>282</x:v>
      </x:c>
      <x:c r="R26" s="173" t="n">
        <x:v>13653</x:v>
      </x:c>
      <x:c r="S26" s="175" t="n">
        <x:v>0.00145</x:v>
      </x:c>
      <x:c r="T26" s="177" t="n">
        <x:v>3.317</x:v>
      </x:c>
      <x:c r="U26" s="179"/>
    </x:row>
    <x:row r="27">
      <x:c r="A27" s="160" t="str">
        <x:v>CLM-8861</x:v>
      </x:c>
      <x:c r="B27" s="161" t="str">
        <x:v>V1</x:v>
      </x:c>
      <x:c r="C27" s="161" t="n">
        <x:v>1</x:v>
      </x:c>
      <x:c r="D27" s="171" t="n">
        <x:v>1</x:v>
      </x:c>
      <x:c r="E27" s="171" t="n">
        <x:v>1</x:v>
      </x:c>
      <x:c r="F27" s="171" t="n">
        <x:v>1</x:v>
      </x:c>
      <x:c r="G27" s="171" t="n">
        <x:v>1</x:v>
      </x:c>
      <x:c r="H27" s="171" t="n">
        <x:v>1</x:v>
      </x:c>
      <x:c r="I27" s="173" t="n">
        <x:v>7</x:v>
      </x:c>
      <x:c r="J27" s="173" t="n">
        <x:v>6</x:v>
      </x:c>
      <x:c r="K27" s="173" t="n">
        <x:v>6</x:v>
      </x:c>
      <x:c r="L27" s="173" t="n">
        <x:v>0</x:v>
      </x:c>
      <x:c r="M27" s="173" t="n">
        <x:v>0</x:v>
      </x:c>
      <x:c r="N27" s="173" t="n">
        <x:v>1244</x:v>
      </x:c>
      <x:c r="O27" s="173" t="n">
        <x:v>425</x:v>
      </x:c>
      <x:c r="P27" s="173" t="n">
        <x:v>16361</x:v>
      </x:c>
      <x:c r="Q27" s="173" t="n">
        <x:v>392</x:v>
      </x:c>
      <x:c r="R27" s="173" t="n">
        <x:v>16753</x:v>
      </x:c>
      <x:c r="S27" s="175" t="n">
        <x:v>0.001793</x:v>
      </x:c>
      <x:c r="T27" s="177" t="n">
        <x:v>5.235</x:v>
      </x:c>
      <x:c r="U27" s="179"/>
    </x:row>
    <x:row r="28">
      <x:c r="A28" s="160" t="str">
        <x:v>CLM-8874</x:v>
      </x:c>
      <x:c r="B28" s="161" t="str">
        <x:v>V1</x:v>
      </x:c>
      <x:c r="C28" s="161" t="n">
        <x:v>1</x:v>
      </x:c>
      <x:c r="D28" s="171" t="n">
        <x:v>1</x:v>
      </x:c>
      <x:c r="E28" s="171" t="n">
        <x:v>1</x:v>
      </x:c>
      <x:c r="F28" s="171" t="n">
        <x:v>1</x:v>
      </x:c>
      <x:c r="G28" s="171" t="n">
        <x:v>1</x:v>
      </x:c>
      <x:c r="H28" s="171" t="n">
        <x:v>1</x:v>
      </x:c>
      <x:c r="I28" s="173" t="n">
        <x:v>7</x:v>
      </x:c>
      <x:c r="J28" s="173" t="n">
        <x:v>6</x:v>
      </x:c>
      <x:c r="K28" s="173" t="n">
        <x:v>6</x:v>
      </x:c>
      <x:c r="L28" s="173" t="n">
        <x:v>0</x:v>
      </x:c>
      <x:c r="M28" s="173" t="n">
        <x:v>0</x:v>
      </x:c>
      <x:c r="N28" s="173" t="n">
        <x:v>973</x:v>
      </x:c>
      <x:c r="O28" s="173" t="n">
        <x:v>319</x:v>
      </x:c>
      <x:c r="P28" s="173" t="n">
        <x:v>16188</x:v>
      </x:c>
      <x:c r="Q28" s="173" t="n">
        <x:v>344</x:v>
      </x:c>
      <x:c r="R28" s="173" t="n">
        <x:v>16532</x:v>
      </x:c>
      <x:c r="S28" s="175" t="n">
        <x:v>0.001756</x:v>
      </x:c>
      <x:c r="T28" s="177" t="n">
        <x:v>3.507</x:v>
      </x:c>
      <x:c r="U28" s="179"/>
    </x:row>
    <x:row r="29">
      <x:c r="A29" s="160" t="str">
        <x:v>CLM-8888</x:v>
      </x:c>
      <x:c r="B29" s="161" t="str">
        <x:v>V1</x:v>
      </x:c>
      <x:c r="C29" s="161" t="n">
        <x:v>1</x:v>
      </x:c>
      <x:c r="D29" s="171" t="n">
        <x:v>0</x:v>
      </x:c>
      <x:c r="E29" s="171" t="n">
        <x:v>0</x:v>
      </x:c>
      <x:c r="F29" s="171" t="n">
        <x:v>1</x:v>
      </x:c>
      <x:c r="G29" s="171" t="n">
        <x:v>1</x:v>
      </x:c>
      <x:c r="H29" s="171" t="n">
        <x:v>0</x:v>
      </x:c>
      <x:c r="I29" s="173" t="n">
        <x:v>7</x:v>
      </x:c>
      <x:c r="J29" s="173" t="n">
        <x:v>6</x:v>
      </x:c>
      <x:c r="K29" s="173" t="n">
        <x:v>8</x:v>
      </x:c>
      <x:c r="L29" s="173" t="n">
        <x:v>0</x:v>
      </x:c>
      <x:c r="M29" s="173" t="n">
        <x:v>0</x:v>
      </x:c>
      <x:c r="N29" s="173" t="n">
        <x:v>1397</x:v>
      </x:c>
      <x:c r="O29" s="173" t="n">
        <x:v>445</x:v>
      </x:c>
      <x:c r="P29" s="173" t="n">
        <x:v>16697</x:v>
      </x:c>
      <x:c r="Q29" s="173" t="n">
        <x:v>532</x:v>
      </x:c>
      <x:c r="R29" s="173" t="n">
        <x:v>17229</x:v>
      </x:c>
      <x:c r="S29" s="175" t="n">
        <x:v>0.001883</x:v>
      </x:c>
      <x:c r="T29" s="177" t="n">
        <x:v>5.744</x:v>
      </x:c>
      <x:c r="U29" s="179"/>
    </x:row>
    <x:row r="30">
      <x:c r="A30" s="160" t="str">
        <x:v>CLM-8888</x:v>
      </x:c>
      <x:c r="B30" s="161" t="str">
        <x:v>V1</x:v>
      </x:c>
      <x:c r="C30" s="161" t="n">
        <x:v>2</x:v>
      </x:c>
      <x:c r="D30" s="171" t="n">
        <x:v>0</x:v>
      </x:c>
      <x:c r="E30" s="171" t="n">
        <x:v>0</x:v>
      </x:c>
      <x:c r="F30" s="171" t="n">
        <x:v>1</x:v>
      </x:c>
      <x:c r="G30" s="171" t="n">
        <x:v>1</x:v>
      </x:c>
      <x:c r="H30" s="171" t="n">
        <x:v>0</x:v>
      </x:c>
      <x:c r="I30" s="173" t="n">
        <x:v>6</x:v>
      </x:c>
      <x:c r="J30" s="173" t="n">
        <x:v>5</x:v>
      </x:c>
      <x:c r="K30" s="173" t="n">
        <x:v>6</x:v>
      </x:c>
      <x:c r="L30" s="173" t="n">
        <x:v>0</x:v>
      </x:c>
      <x:c r="M30" s="173" t="n">
        <x:v>0</x:v>
      </x:c>
      <x:c r="N30" s="173" t="n">
        <x:v>1122</x:v>
      </x:c>
      <x:c r="O30" s="173" t="n">
        <x:v>364</x:v>
      </x:c>
      <x:c r="P30" s="173" t="n">
        <x:v>14035</x:v>
      </x:c>
      <x:c r="Q30" s="173" t="n">
        <x:v>472</x:v>
      </x:c>
      <x:c r="R30" s="173" t="n">
        <x:v>14507</x:v>
      </x:c>
      <x:c r="S30" s="175" t="n">
        <x:v>0.001592</x:v>
      </x:c>
      <x:c r="T30" s="177" t="n">
        <x:v>3.507</x:v>
      </x:c>
      <x:c r="U30" s="179"/>
    </x:row>
    <x:row r="31">
      <x:c r="A31" s="160" t="str">
        <x:v>CLM-8888</x:v>
      </x:c>
      <x:c r="B31" s="161" t="str">
        <x:v>V1</x:v>
      </x:c>
      <x:c r="C31" s="161" t="n">
        <x:v>3</x:v>
      </x:c>
      <x:c r="D31" s="171" t="n">
        <x:v>0</x:v>
      </x:c>
      <x:c r="E31" s="171" t="n">
        <x:v>0</x:v>
      </x:c>
      <x:c r="F31" s="171" t="n">
        <x:v>1</x:v>
      </x:c>
      <x:c r="G31" s="171" t="n">
        <x:v>1</x:v>
      </x:c>
      <x:c r="H31" s="171" t="n">
        <x:v>0</x:v>
      </x:c>
      <x:c r="I31" s="173" t="n">
        <x:v>7</x:v>
      </x:c>
      <x:c r="J31" s="173" t="n">
        <x:v>6</x:v>
      </x:c>
      <x:c r="K31" s="173" t="n">
        <x:v>8</x:v>
      </x:c>
      <x:c r="L31" s="173" t="n">
        <x:v>0</x:v>
      </x:c>
      <x:c r="M31" s="173" t="n">
        <x:v>0</x:v>
      </x:c>
      <x:c r="N31" s="173" t="n">
        <x:v>1397</x:v>
      </x:c>
      <x:c r="O31" s="173" t="n">
        <x:v>445</x:v>
      </x:c>
      <x:c r="P31" s="173" t="n">
        <x:v>16697</x:v>
      </x:c>
      <x:c r="Q31" s="173" t="n">
        <x:v>528</x:v>
      </x:c>
      <x:c r="R31" s="173" t="n">
        <x:v>17225</x:v>
      </x:c>
      <x:c r="S31" s="175" t="n">
        <x:v>0.001881</x:v>
      </x:c>
      <x:c r="T31" s="177" t="n">
        <x:v>4.017</x:v>
      </x:c>
      <x:c r="U31" s="179"/>
    </x:row>
    <x:row r="32">
      <x:c r="A32" s="160" t="str">
        <x:v>CLM-8894</x:v>
      </x:c>
      <x:c r="B32" s="161" t="str">
        <x:v>V1</x:v>
      </x:c>
      <x:c r="C32" s="161" t="n">
        <x:v>1</x:v>
      </x:c>
      <x:c r="D32" s="171" t="n">
        <x:v>0</x:v>
      </x:c>
      <x:c r="E32" s="171" t="n">
        <x:v>0</x:v>
      </x:c>
      <x:c r="F32" s="171" t="n">
        <x:v>1</x:v>
      </x:c>
      <x:c r="G32" s="171" t="n">
        <x:v>1</x:v>
      </x:c>
      <x:c r="H32" s="171" t="n">
        <x:v>0</x:v>
      </x:c>
      <x:c r="I32" s="173" t="n">
        <x:v>5</x:v>
      </x:c>
      <x:c r="J32" s="173" t="n">
        <x:v>4</x:v>
      </x:c>
      <x:c r="K32" s="173" t="n">
        <x:v>5</x:v>
      </x:c>
      <x:c r="L32" s="173" t="n">
        <x:v>0</x:v>
      </x:c>
      <x:c r="M32" s="173" t="n">
        <x:v>0</x:v>
      </x:c>
      <x:c r="N32" s="173" t="n">
        <x:v>1001</x:v>
      </x:c>
      <x:c r="O32" s="173" t="n">
        <x:v>341</x:v>
      </x:c>
      <x:c r="P32" s="173" t="n">
        <x:v>11237</x:v>
      </x:c>
      <x:c r="Q32" s="173" t="n">
        <x:v>325</x:v>
      </x:c>
      <x:c r="R32" s="173" t="n">
        <x:v>11562</x:v>
      </x:c>
      <x:c r="S32" s="175" t="n">
        <x:v>0.001254</x:v>
      </x:c>
      <x:c r="T32" s="177" t="n">
        <x:v>2.792</x:v>
      </x:c>
      <x:c r="U32" s="179"/>
    </x:row>
    <x:row r="33">
      <x:c r="A33" s="160" t="str">
        <x:v>CLM-8894</x:v>
      </x:c>
      <x:c r="B33" s="161" t="str">
        <x:v>V1</x:v>
      </x:c>
      <x:c r="C33" s="161" t="n">
        <x:v>2</x:v>
      </x:c>
      <x:c r="D33" s="171" t="n">
        <x:v>0</x:v>
      </x:c>
      <x:c r="E33" s="171" t="n">
        <x:v>0</x:v>
      </x:c>
      <x:c r="F33" s="171" t="n">
        <x:v>1</x:v>
      </x:c>
      <x:c r="G33" s="171" t="n">
        <x:v>1</x:v>
      </x:c>
      <x:c r="H33" s="171" t="n">
        <x:v>0</x:v>
      </x:c>
      <x:c r="I33" s="173" t="n">
        <x:v>6</x:v>
      </x:c>
      <x:c r="J33" s="173" t="n">
        <x:v>5</x:v>
      </x:c>
      <x:c r="K33" s="173" t="n">
        <x:v>5</x:v>
      </x:c>
      <x:c r="L33" s="173" t="n">
        <x:v>0</x:v>
      </x:c>
      <x:c r="M33" s="173" t="n">
        <x:v>0</x:v>
      </x:c>
      <x:c r="N33" s="173" t="n">
        <x:v>1001</x:v>
      </x:c>
      <x:c r="O33" s="173" t="n">
        <x:v>341</x:v>
      </x:c>
      <x:c r="P33" s="173" t="n">
        <x:v>13731</x:v>
      </x:c>
      <x:c r="Q33" s="173" t="n">
        <x:v>457</x:v>
      </x:c>
      <x:c r="R33" s="173" t="n">
        <x:v>14188</x:v>
      </x:c>
      <x:c r="S33" s="175" t="n">
        <x:v>0.001556</x:v>
      </x:c>
      <x:c r="T33" s="177" t="n">
        <x:v>3.816</x:v>
      </x:c>
      <x:c r="U33" s="179"/>
    </x:row>
    <x:row r="34">
      <x:c r="A34" s="160" t="str">
        <x:v>CLM-8894</x:v>
      </x:c>
      <x:c r="B34" s="161" t="str">
        <x:v>V1</x:v>
      </x:c>
      <x:c r="C34" s="161" t="n">
        <x:v>3</x:v>
      </x:c>
      <x:c r="D34" s="171" t="n">
        <x:v>0</x:v>
      </x:c>
      <x:c r="E34" s="171" t="n">
        <x:v>0</x:v>
      </x:c>
      <x:c r="F34" s="171" t="n">
        <x:v>1</x:v>
      </x:c>
      <x:c r="G34" s="171" t="n">
        <x:v>1</x:v>
      </x:c>
      <x:c r="H34" s="171" t="n">
        <x:v>0</x:v>
      </x:c>
      <x:c r="I34" s="173" t="n">
        <x:v>6</x:v>
      </x:c>
      <x:c r="J34" s="173" t="n">
        <x:v>5</x:v>
      </x:c>
      <x:c r="K34" s="173" t="n">
        <x:v>5</x:v>
      </x:c>
      <x:c r="L34" s="173" t="n">
        <x:v>0</x:v>
      </x:c>
      <x:c r="M34" s="173" t="n">
        <x:v>0</x:v>
      </x:c>
      <x:c r="N34" s="173" t="n">
        <x:v>1001</x:v>
      </x:c>
      <x:c r="O34" s="173" t="n">
        <x:v>341</x:v>
      </x:c>
      <x:c r="P34" s="173" t="n">
        <x:v>13729</x:v>
      </x:c>
      <x:c r="Q34" s="173" t="n">
        <x:v>466</x:v>
      </x:c>
      <x:c r="R34" s="173" t="n">
        <x:v>14195</x:v>
      </x:c>
      <x:c r="S34" s="175" t="n">
        <x:v>0.001559</x:v>
      </x:c>
      <x:c r="T34" s="177" t="n">
        <x:v>3.565</x:v>
      </x:c>
      <x:c r="U34" s="179"/>
    </x:row>
    <x:row r="35">
      <x:c r="A35" s="160" t="str">
        <x:v>CLM-8901</x:v>
      </x:c>
      <x:c r="B35" s="161" t="str">
        <x:v>V1</x:v>
      </x:c>
      <x:c r="C35" s="161" t="n">
        <x:v>1</x:v>
      </x:c>
      <x:c r="D35" s="171" t="n">
        <x:v>1</x:v>
      </x:c>
      <x:c r="E35" s="171" t="n">
        <x:v>1</x:v>
      </x:c>
      <x:c r="F35" s="171" t="n">
        <x:v>1</x:v>
      </x:c>
      <x:c r="G35" s="171" t="n">
        <x:v>1</x:v>
      </x:c>
      <x:c r="H35" s="171" t="n">
        <x:v>1</x:v>
      </x:c>
      <x:c r="I35" s="173" t="n">
        <x:v>7</x:v>
      </x:c>
      <x:c r="J35" s="173" t="n">
        <x:v>6</x:v>
      </x:c>
      <x:c r="K35" s="173" t="n">
        <x:v>6</x:v>
      </x:c>
      <x:c r="L35" s="173" t="n">
        <x:v>0</x:v>
      </x:c>
      <x:c r="M35" s="173" t="n">
        <x:v>0</x:v>
      </x:c>
      <x:c r="N35" s="173" t="n">
        <x:v>845</x:v>
      </x:c>
      <x:c r="O35" s="173" t="n">
        <x:v>281</x:v>
      </x:c>
      <x:c r="P35" s="173" t="n">
        <x:v>15915</x:v>
      </x:c>
      <x:c r="Q35" s="173" t="n">
        <x:v>321</x:v>
      </x:c>
      <x:c r="R35" s="173" t="n">
        <x:v>16236</x:v>
      </x:c>
      <x:c r="S35" s="175" t="n">
        <x:v>0.00172</x:v>
      </x:c>
      <x:c r="T35" s="177" t="n">
        <x:v>6.348</x:v>
      </x:c>
      <x:c r="U35" s="179"/>
    </x:row>
    <x:row r="36">
      <x:c r="A36" s="160" t="str">
        <x:v>CLM-8901</x:v>
      </x:c>
      <x:c r="B36" s="161" t="str">
        <x:v>V1</x:v>
      </x:c>
      <x:c r="C36" s="161" t="n">
        <x:v>2</x:v>
      </x:c>
      <x:c r="D36" s="171" t="n">
        <x:v>1</x:v>
      </x:c>
      <x:c r="E36" s="171" t="n">
        <x:v>1</x:v>
      </x:c>
      <x:c r="F36" s="171" t="n">
        <x:v>1</x:v>
      </x:c>
      <x:c r="G36" s="171" t="n">
        <x:v>1</x:v>
      </x:c>
      <x:c r="H36" s="171" t="n">
        <x:v>1</x:v>
      </x:c>
      <x:c r="I36" s="173" t="n">
        <x:v>7</x:v>
      </x:c>
      <x:c r="J36" s="173" t="n">
        <x:v>6</x:v>
      </x:c>
      <x:c r="K36" s="173" t="n">
        <x:v>6</x:v>
      </x:c>
      <x:c r="L36" s="173" t="n">
        <x:v>0</x:v>
      </x:c>
      <x:c r="M36" s="173" t="n">
        <x:v>0</x:v>
      </x:c>
      <x:c r="N36" s="173" t="n">
        <x:v>845</x:v>
      </x:c>
      <x:c r="O36" s="173" t="n">
        <x:v>281</x:v>
      </x:c>
      <x:c r="P36" s="173" t="n">
        <x:v>15915</x:v>
      </x:c>
      <x:c r="Q36" s="173" t="n">
        <x:v>321</x:v>
      </x:c>
      <x:c r="R36" s="173" t="n">
        <x:v>16236</x:v>
      </x:c>
      <x:c r="S36" s="175" t="n">
        <x:v>0.00172</x:v>
      </x:c>
      <x:c r="T36" s="177" t="n">
        <x:v>6.103</x:v>
      </x:c>
      <x:c r="U36" s="179"/>
    </x:row>
    <x:row r="37">
      <x:c r="A37" s="160" t="str">
        <x:v>CLM-8901</x:v>
      </x:c>
      <x:c r="B37" s="161" t="str">
        <x:v>V1</x:v>
      </x:c>
      <x:c r="C37" s="161" t="n">
        <x:v>3</x:v>
      </x:c>
      <x:c r="D37" s="171" t="n">
        <x:v>1</x:v>
      </x:c>
      <x:c r="E37" s="171" t="n">
        <x:v>1</x:v>
      </x:c>
      <x:c r="F37" s="171" t="n">
        <x:v>1</x:v>
      </x:c>
      <x:c r="G37" s="171" t="n">
        <x:v>1</x:v>
      </x:c>
      <x:c r="H37" s="171" t="n">
        <x:v>1</x:v>
      </x:c>
      <x:c r="I37" s="173" t="n">
        <x:v>7</x:v>
      </x:c>
      <x:c r="J37" s="173" t="n">
        <x:v>6</x:v>
      </x:c>
      <x:c r="K37" s="173" t="n">
        <x:v>6</x:v>
      </x:c>
      <x:c r="L37" s="173" t="n">
        <x:v>0</x:v>
      </x:c>
      <x:c r="M37" s="173" t="n">
        <x:v>0</x:v>
      </x:c>
      <x:c r="N37" s="173" t="n">
        <x:v>845</x:v>
      </x:c>
      <x:c r="O37" s="173" t="n">
        <x:v>281</x:v>
      </x:c>
      <x:c r="P37" s="173" t="n">
        <x:v>15915</x:v>
      </x:c>
      <x:c r="Q37" s="173" t="n">
        <x:v>327</x:v>
      </x:c>
      <x:c r="R37" s="173" t="n">
        <x:v>16242</x:v>
      </x:c>
      <x:c r="S37" s="175" t="n">
        <x:v>0.001722</x:v>
      </x:c>
      <x:c r="T37" s="177" t="n">
        <x:v>6.027</x:v>
      </x:c>
      <x:c r="U37" s="179"/>
    </x:row>
    <x:row r="38">
      <x:c r="A38" s="160" t="str">
        <x:v>CLM-8910</x:v>
      </x:c>
      <x:c r="B38" s="161" t="str">
        <x:v>V1</x:v>
      </x:c>
      <x:c r="C38" s="161" t="n">
        <x:v>1</x:v>
      </x:c>
      <x:c r="D38" s="171" t="n">
        <x:v>0</x:v>
      </x:c>
      <x:c r="E38" s="171" t="n">
        <x:v>0</x:v>
      </x:c>
      <x:c r="F38" s="171" t="n">
        <x:v>1</x:v>
      </x:c>
      <x:c r="G38" s="171" t="n">
        <x:v>1</x:v>
      </x:c>
      <x:c r="H38" s="171" t="n">
        <x:v>0</x:v>
      </x:c>
      <x:c r="I38" s="173" t="n">
        <x:v>6</x:v>
      </x:c>
      <x:c r="J38" s="173" t="n">
        <x:v>5</x:v>
      </x:c>
      <x:c r="K38" s="173" t="n">
        <x:v>6</x:v>
      </x:c>
      <x:c r="L38" s="173" t="n">
        <x:v>0</x:v>
      </x:c>
      <x:c r="M38" s="173" t="n">
        <x:v>0</x:v>
      </x:c>
      <x:c r="N38" s="173" t="n">
        <x:v>1199</x:v>
      </x:c>
      <x:c r="O38" s="173" t="n">
        <x:v>380</x:v>
      </x:c>
      <x:c r="P38" s="173" t="n">
        <x:v>13789</x:v>
      </x:c>
      <x:c r="Q38" s="173" t="n">
        <x:v>490</x:v>
      </x:c>
      <x:c r="R38" s="173" t="n">
        <x:v>14279</x:v>
      </x:c>
      <x:c r="S38" s="175" t="n">
        <x:v>0.001575</x:v>
      </x:c>
      <x:c r="T38" s="177" t="n">
        <x:v>9.16</x:v>
      </x:c>
      <x:c r="U38" s="179"/>
    </x:row>
    <x:row r="39">
      <x:c r="A39" s="160" t="str">
        <x:v>CLM-8910</x:v>
      </x:c>
      <x:c r="B39" s="161" t="str">
        <x:v>V1</x:v>
      </x:c>
      <x:c r="C39" s="161" t="n">
        <x:v>2</x:v>
      </x:c>
      <x:c r="D39" s="171" t="n">
        <x:v>0</x:v>
      </x:c>
      <x:c r="E39" s="171" t="n">
        <x:v>0</x:v>
      </x:c>
      <x:c r="F39" s="171" t="n">
        <x:v>1</x:v>
      </x:c>
      <x:c r="G39" s="171" t="n">
        <x:v>1</x:v>
      </x:c>
      <x:c r="H39" s="171" t="n">
        <x:v>0</x:v>
      </x:c>
      <x:c r="I39" s="173" t="n">
        <x:v>6</x:v>
      </x:c>
      <x:c r="J39" s="173" t="n">
        <x:v>5</x:v>
      </x:c>
      <x:c r="K39" s="173" t="n">
        <x:v>6</x:v>
      </x:c>
      <x:c r="L39" s="173" t="n">
        <x:v>0</x:v>
      </x:c>
      <x:c r="M39" s="173" t="n">
        <x:v>0</x:v>
      </x:c>
      <x:c r="N39" s="173" t="n">
        <x:v>1199</x:v>
      </x:c>
      <x:c r="O39" s="173" t="n">
        <x:v>380</x:v>
      </x:c>
      <x:c r="P39" s="173" t="n">
        <x:v>13789</x:v>
      </x:c>
      <x:c r="Q39" s="173" t="n">
        <x:v>498</x:v>
      </x:c>
      <x:c r="R39" s="173" t="n">
        <x:v>14287</x:v>
      </x:c>
      <x:c r="S39" s="175" t="n">
        <x:v>0.001578</x:v>
      </x:c>
      <x:c r="T39" s="177" t="n">
        <x:v>7.099</x:v>
      </x:c>
      <x:c r="U39" s="179"/>
    </x:row>
    <x:row r="40">
      <x:c r="A40" s="160" t="str">
        <x:v>CLM-8910</x:v>
      </x:c>
      <x:c r="B40" s="161" t="str">
        <x:v>V1</x:v>
      </x:c>
      <x:c r="C40" s="161" t="n">
        <x:v>3</x:v>
      </x:c>
      <x:c r="D40" s="171" t="n">
        <x:v>0</x:v>
      </x:c>
      <x:c r="E40" s="171" t="n">
        <x:v>0</x:v>
      </x:c>
      <x:c r="F40" s="171" t="n">
        <x:v>1</x:v>
      </x:c>
      <x:c r="G40" s="171" t="n">
        <x:v>1</x:v>
      </x:c>
      <x:c r="H40" s="171" t="n">
        <x:v>0</x:v>
      </x:c>
      <x:c r="I40" s="173" t="n">
        <x:v>6</x:v>
      </x:c>
      <x:c r="J40" s="173" t="n">
        <x:v>5</x:v>
      </x:c>
      <x:c r="K40" s="173" t="n">
        <x:v>6</x:v>
      </x:c>
      <x:c r="L40" s="173" t="n">
        <x:v>0</x:v>
      </x:c>
      <x:c r="M40" s="173" t="n">
        <x:v>0</x:v>
      </x:c>
      <x:c r="N40" s="173" t="n">
        <x:v>1199</x:v>
      </x:c>
      <x:c r="O40" s="173" t="n">
        <x:v>380</x:v>
      </x:c>
      <x:c r="P40" s="173" t="n">
        <x:v>13792</x:v>
      </x:c>
      <x:c r="Q40" s="173" t="n">
        <x:v>430</x:v>
      </x:c>
      <x:c r="R40" s="173" t="n">
        <x:v>14222</x:v>
      </x:c>
      <x:c r="S40" s="175" t="n">
        <x:v>0.001551</x:v>
      </x:c>
      <x:c r="T40" s="177" t="n">
        <x:v>6.727</x:v>
      </x:c>
      <x:c r="U40" s="179"/>
    </x:row>
    <x:row r="41">
      <x:c r="A41" s="160" t="str">
        <x:v>CLM-8917</x:v>
      </x:c>
      <x:c r="B41" s="161" t="str">
        <x:v>V1</x:v>
      </x:c>
      <x:c r="C41" s="161" t="n">
        <x:v>1</x:v>
      </x:c>
      <x:c r="D41" s="171" t="n">
        <x:v>0</x:v>
      </x:c>
      <x:c r="E41" s="171" t="n">
        <x:v>0</x:v>
      </x:c>
      <x:c r="F41" s="171" t="n">
        <x:v>1</x:v>
      </x:c>
      <x:c r="G41" s="171" t="n">
        <x:v>0</x:v>
      </x:c>
      <x:c r="H41" s="171" t="n">
        <x:v>0</x:v>
      </x:c>
      <x:c r="I41" s="173" t="n">
        <x:v>7</x:v>
      </x:c>
      <x:c r="J41" s="173" t="n">
        <x:v>6</x:v>
      </x:c>
      <x:c r="K41" s="173" t="n">
        <x:v>6</x:v>
      </x:c>
      <x:c r="L41" s="173" t="n">
        <x:v>0</x:v>
      </x:c>
      <x:c r="M41" s="173" t="n">
        <x:v>0</x:v>
      </x:c>
      <x:c r="N41" s="173" t="n">
        <x:v>823</x:v>
      </x:c>
      <x:c r="O41" s="173" t="n">
        <x:v>272</x:v>
      </x:c>
      <x:c r="P41" s="173" t="n">
        <x:v>15909</x:v>
      </x:c>
      <x:c r="Q41" s="173" t="n">
        <x:v>371</x:v>
      </x:c>
      <x:c r="R41" s="173" t="n">
        <x:v>16280</x:v>
      </x:c>
      <x:c r="S41" s="175" t="n">
        <x:v>0.001739</x:v>
      </x:c>
      <x:c r="T41" s="177" t="n">
        <x:v>5.945</x:v>
      </x:c>
      <x:c r="U41" s="179"/>
    </x:row>
    <x:row r="42">
      <x:c r="A42" s="160" t="str">
        <x:v>CLM-8917</x:v>
      </x:c>
      <x:c r="B42" s="161" t="str">
        <x:v>V1</x:v>
      </x:c>
      <x:c r="C42" s="161" t="n">
        <x:v>2</x:v>
      </x:c>
      <x:c r="D42" s="171" t="n">
        <x:v>0</x:v>
      </x:c>
      <x:c r="E42" s="171" t="n">
        <x:v>0</x:v>
      </x:c>
      <x:c r="F42" s="171" t="n">
        <x:v>1</x:v>
      </x:c>
      <x:c r="G42" s="171" t="n">
        <x:v>0</x:v>
      </x:c>
      <x:c r="H42" s="171" t="n">
        <x:v>0</x:v>
      </x:c>
      <x:c r="I42" s="173" t="n">
        <x:v>7</x:v>
      </x:c>
      <x:c r="J42" s="173" t="n">
        <x:v>6</x:v>
      </x:c>
      <x:c r="K42" s="173" t="n">
        <x:v>6</x:v>
      </x:c>
      <x:c r="L42" s="173" t="n">
        <x:v>0</x:v>
      </x:c>
      <x:c r="M42" s="173" t="n">
        <x:v>0</x:v>
      </x:c>
      <x:c r="N42" s="173" t="n">
        <x:v>823</x:v>
      </x:c>
      <x:c r="O42" s="173" t="n">
        <x:v>272</x:v>
      </x:c>
      <x:c r="P42" s="173" t="n">
        <x:v>15901</x:v>
      </x:c>
      <x:c r="Q42" s="173" t="n">
        <x:v>332</x:v>
      </x:c>
      <x:c r="R42" s="173" t="n">
        <x:v>16233</x:v>
      </x:c>
      <x:c r="S42" s="175" t="n">
        <x:v>0.001723</x:v>
      </x:c>
      <x:c r="T42" s="177" t="n">
        <x:v>5.112</x:v>
      </x:c>
      <x:c r="U42" s="179"/>
    </x:row>
    <x:row r="43">
      <x:c r="A43" s="160" t="str">
        <x:v>CLM-8917</x:v>
      </x:c>
      <x:c r="B43" s="161" t="str">
        <x:v>V1</x:v>
      </x:c>
      <x:c r="C43" s="161" t="n">
        <x:v>3</x:v>
      </x:c>
      <x:c r="D43" s="171" t="n">
        <x:v>0</x:v>
      </x:c>
      <x:c r="E43" s="171" t="n">
        <x:v>0</x:v>
      </x:c>
      <x:c r="F43" s="171" t="n">
        <x:v>1</x:v>
      </x:c>
      <x:c r="G43" s="171" t="n">
        <x:v>0</x:v>
      </x:c>
      <x:c r="H43" s="171" t="n">
        <x:v>0</x:v>
      </x:c>
      <x:c r="I43" s="173" t="n">
        <x:v>6</x:v>
      </x:c>
      <x:c r="J43" s="173" t="n">
        <x:v>5</x:v>
      </x:c>
      <x:c r="K43" s="173" t="n">
        <x:v>5</x:v>
      </x:c>
      <x:c r="L43" s="173" t="n">
        <x:v>0</x:v>
      </x:c>
      <x:c r="M43" s="173" t="n">
        <x:v>0</x:v>
      </x:c>
      <x:c r="N43" s="173" t="n">
        <x:v>795</x:v>
      </x:c>
      <x:c r="O43" s="173" t="n">
        <x:v>263</x:v>
      </x:c>
      <x:c r="P43" s="173" t="n">
        <x:v>13363</x:v>
      </x:c>
      <x:c r="Q43" s="173" t="n">
        <x:v>393</x:v>
      </x:c>
      <x:c r="R43" s="173" t="n">
        <x:v>13756</x:v>
      </x:c>
      <x:c r="S43" s="175" t="n">
        <x:v>0.001494</x:v>
      </x:c>
      <x:c r="T43" s="177" t="n">
        <x:v>5.922</x:v>
      </x:c>
      <x:c r="U43" s="179"/>
    </x:row>
    <x:row r="44">
      <x:c r="A44" s="160" t="str">
        <x:v>CLM-8925</x:v>
      </x:c>
      <x:c r="B44" s="161" t="str">
        <x:v>V1</x:v>
      </x:c>
      <x:c r="C44" s="161" t="n">
        <x:v>1</x:v>
      </x:c>
      <x:c r="D44" s="171" t="n">
        <x:v>0</x:v>
      </x:c>
      <x:c r="E44" s="171" t="n">
        <x:v>1</x:v>
      </x:c>
      <x:c r="F44" s="171" t="n">
        <x:v>1</x:v>
      </x:c>
      <x:c r="G44" s="171" t="n">
        <x:v>0</x:v>
      </x:c>
      <x:c r="H44" s="171" t="n">
        <x:v>0</x:v>
      </x:c>
      <x:c r="I44" s="173" t="n">
        <x:v>7</x:v>
      </x:c>
      <x:c r="J44" s="173" t="n">
        <x:v>6</x:v>
      </x:c>
      <x:c r="K44" s="173" t="n">
        <x:v>6</x:v>
      </x:c>
      <x:c r="L44" s="173" t="n">
        <x:v>0</x:v>
      </x:c>
      <x:c r="M44" s="173" t="n">
        <x:v>0</x:v>
      </x:c>
      <x:c r="N44" s="173" t="n">
        <x:v>1332</x:v>
      </x:c>
      <x:c r="O44" s="173" t="n">
        <x:v>445</x:v>
      </x:c>
      <x:c r="P44" s="173" t="n">
        <x:v>16624</x:v>
      </x:c>
      <x:c r="Q44" s="173" t="n">
        <x:v>456</x:v>
      </x:c>
      <x:c r="R44" s="173" t="n">
        <x:v>17080</x:v>
      </x:c>
      <x:c r="S44" s="175" t="n">
        <x:v>0.001845</x:v>
      </x:c>
      <x:c r="T44" s="177" t="n">
        <x:v>6.608</x:v>
      </x:c>
      <x:c r="U44" s="179"/>
    </x:row>
    <x:row r="45">
      <x:c r="A45" s="160" t="str">
        <x:v>CLM-8925</x:v>
      </x:c>
      <x:c r="B45" s="161" t="str">
        <x:v>V1</x:v>
      </x:c>
      <x:c r="C45" s="161" t="n">
        <x:v>2</x:v>
      </x:c>
      <x:c r="D45" s="171" t="n">
        <x:v>0</x:v>
      </x:c>
      <x:c r="E45" s="171" t="n">
        <x:v>1</x:v>
      </x:c>
      <x:c r="F45" s="171" t="n">
        <x:v>1</x:v>
      </x:c>
      <x:c r="G45" s="171" t="n">
        <x:v>0</x:v>
      </x:c>
      <x:c r="H45" s="171" t="n">
        <x:v>0</x:v>
      </x:c>
      <x:c r="I45" s="173" t="n">
        <x:v>7</x:v>
      </x:c>
      <x:c r="J45" s="173" t="n">
        <x:v>6</x:v>
      </x:c>
      <x:c r="K45" s="173" t="n">
        <x:v>6</x:v>
      </x:c>
      <x:c r="L45" s="173" t="n">
        <x:v>0</x:v>
      </x:c>
      <x:c r="M45" s="173" t="n">
        <x:v>0</x:v>
      </x:c>
      <x:c r="N45" s="173" t="n">
        <x:v>1332</x:v>
      </x:c>
      <x:c r="O45" s="173" t="n">
        <x:v>445</x:v>
      </x:c>
      <x:c r="P45" s="173" t="n">
        <x:v>16624</x:v>
      </x:c>
      <x:c r="Q45" s="173" t="n">
        <x:v>427</x:v>
      </x:c>
      <x:c r="R45" s="173" t="n">
        <x:v>17051</x:v>
      </x:c>
      <x:c r="S45" s="175" t="n">
        <x:v>0.001833</x:v>
      </x:c>
      <x:c r="T45" s="177" t="n">
        <x:v>6.034</x:v>
      </x:c>
      <x:c r="U45" s="179"/>
    </x:row>
    <x:row r="46">
      <x:c r="A46" s="160" t="str">
        <x:v>CLM-8925</x:v>
      </x:c>
      <x:c r="B46" s="161" t="str">
        <x:v>V1</x:v>
      </x:c>
      <x:c r="C46" s="161" t="n">
        <x:v>3</x:v>
      </x:c>
      <x:c r="D46" s="171" t="n">
        <x:v>0</x:v>
      </x:c>
      <x:c r="E46" s="171" t="n">
        <x:v>1</x:v>
      </x:c>
      <x:c r="F46" s="171" t="n">
        <x:v>1</x:v>
      </x:c>
      <x:c r="G46" s="171" t="n">
        <x:v>0</x:v>
      </x:c>
      <x:c r="H46" s="171" t="n">
        <x:v>0</x:v>
      </x:c>
      <x:c r="I46" s="173" t="n">
        <x:v>7</x:v>
      </x:c>
      <x:c r="J46" s="173" t="n">
        <x:v>6</x:v>
      </x:c>
      <x:c r="K46" s="173" t="n">
        <x:v>6</x:v>
      </x:c>
      <x:c r="L46" s="173" t="n">
        <x:v>0</x:v>
      </x:c>
      <x:c r="M46" s="173" t="n">
        <x:v>0</x:v>
      </x:c>
      <x:c r="N46" s="173" t="n">
        <x:v>1332</x:v>
      </x:c>
      <x:c r="O46" s="173" t="n">
        <x:v>445</x:v>
      </x:c>
      <x:c r="P46" s="173" t="n">
        <x:v>16624</x:v>
      </x:c>
      <x:c r="Q46" s="173" t="n">
        <x:v>472</x:v>
      </x:c>
      <x:c r="R46" s="173" t="n">
        <x:v>17096</x:v>
      </x:c>
      <x:c r="S46" s="175" t="n">
        <x:v>0.001851</x:v>
      </x:c>
      <x:c r="T46" s="177" t="n">
        <x:v>6.81</x:v>
      </x:c>
      <x:c r="U46" s="179"/>
    </x:row>
    <x:row r="47">
      <x:c r="A47" s="160" t="str">
        <x:v>CLM-8933</x:v>
      </x:c>
      <x:c r="B47" s="161" t="str">
        <x:v>V1</x:v>
      </x:c>
      <x:c r="C47" s="161" t="n">
        <x:v>1</x:v>
      </x:c>
      <x:c r="D47" s="171" t="n">
        <x:v>0</x:v>
      </x:c>
      <x:c r="E47" s="171" t="n">
        <x:v>0</x:v>
      </x:c>
      <x:c r="F47" s="171" t="n">
        <x:v>1</x:v>
      </x:c>
      <x:c r="G47" s="171" t="n">
        <x:v>0</x:v>
      </x:c>
      <x:c r="H47" s="171" t="n">
        <x:v>0</x:v>
      </x:c>
      <x:c r="I47" s="173" t="n">
        <x:v>7</x:v>
      </x:c>
      <x:c r="J47" s="173" t="n">
        <x:v>6</x:v>
      </x:c>
      <x:c r="K47" s="173" t="n">
        <x:v>6</x:v>
      </x:c>
      <x:c r="L47" s="173" t="n">
        <x:v>0</x:v>
      </x:c>
      <x:c r="M47" s="173" t="n">
        <x:v>0</x:v>
      </x:c>
      <x:c r="N47" s="173" t="n">
        <x:v>1034</x:v>
      </x:c>
      <x:c r="O47" s="173" t="n">
        <x:v>338</x:v>
      </x:c>
      <x:c r="P47" s="173" t="n">
        <x:v>16266</x:v>
      </x:c>
      <x:c r="Q47" s="173" t="n">
        <x:v>349</x:v>
      </x:c>
      <x:c r="R47" s="173" t="n">
        <x:v>16615</x:v>
      </x:c>
      <x:c r="S47" s="175" t="n">
        <x:v>0.001766</x:v>
      </x:c>
      <x:c r="T47" s="177" t="n">
        <x:v>5.746</x:v>
      </x:c>
      <x:c r="U47" s="179"/>
    </x:row>
    <x:row r="48">
      <x:c r="A48" s="160" t="str">
        <x:v>CLM-8933</x:v>
      </x:c>
      <x:c r="B48" s="161" t="str">
        <x:v>V1</x:v>
      </x:c>
      <x:c r="C48" s="161" t="n">
        <x:v>2</x:v>
      </x:c>
      <x:c r="D48" s="171" t="n">
        <x:v>0</x:v>
      </x:c>
      <x:c r="E48" s="171" t="n">
        <x:v>0</x:v>
      </x:c>
      <x:c r="F48" s="171" t="n">
        <x:v>1</x:v>
      </x:c>
      <x:c r="G48" s="171" t="n">
        <x:v>0</x:v>
      </x:c>
      <x:c r="H48" s="171" t="n">
        <x:v>0</x:v>
      </x:c>
      <x:c r="I48" s="173" t="n">
        <x:v>7</x:v>
      </x:c>
      <x:c r="J48" s="173" t="n">
        <x:v>6</x:v>
      </x:c>
      <x:c r="K48" s="173" t="n">
        <x:v>6</x:v>
      </x:c>
      <x:c r="L48" s="173" t="n">
        <x:v>0</x:v>
      </x:c>
      <x:c r="M48" s="173" t="n">
        <x:v>0</x:v>
      </x:c>
      <x:c r="N48" s="173" t="n">
        <x:v>1034</x:v>
      </x:c>
      <x:c r="O48" s="173" t="n">
        <x:v>338</x:v>
      </x:c>
      <x:c r="P48" s="173" t="n">
        <x:v>16266</x:v>
      </x:c>
      <x:c r="Q48" s="173" t="n">
        <x:v>349</x:v>
      </x:c>
      <x:c r="R48" s="173" t="n">
        <x:v>16615</x:v>
      </x:c>
      <x:c r="S48" s="175" t="n">
        <x:v>0.001766</x:v>
      </x:c>
      <x:c r="T48" s="177" t="n">
        <x:v>5.133</x:v>
      </x:c>
      <x:c r="U48" s="179"/>
    </x:row>
    <x:row r="49">
      <x:c r="A49" s="160" t="str">
        <x:v>CLM-8933</x:v>
      </x:c>
      <x:c r="B49" s="161" t="str">
        <x:v>V1</x:v>
      </x:c>
      <x:c r="C49" s="161" t="n">
        <x:v>3</x:v>
      </x:c>
      <x:c r="D49" s="171" t="n">
        <x:v>0</x:v>
      </x:c>
      <x:c r="E49" s="171" t="n">
        <x:v>0</x:v>
      </x:c>
      <x:c r="F49" s="171" t="n">
        <x:v>1</x:v>
      </x:c>
      <x:c r="G49" s="171" t="n">
        <x:v>0</x:v>
      </x:c>
      <x:c r="H49" s="171" t="n">
        <x:v>0</x:v>
      </x:c>
      <x:c r="I49" s="173" t="n">
        <x:v>7</x:v>
      </x:c>
      <x:c r="J49" s="173" t="n">
        <x:v>6</x:v>
      </x:c>
      <x:c r="K49" s="173" t="n">
        <x:v>6</x:v>
      </x:c>
      <x:c r="L49" s="173" t="n">
        <x:v>0</x:v>
      </x:c>
      <x:c r="M49" s="173" t="n">
        <x:v>0</x:v>
      </x:c>
      <x:c r="N49" s="173" t="n">
        <x:v>1034</x:v>
      </x:c>
      <x:c r="O49" s="173" t="n">
        <x:v>338</x:v>
      </x:c>
      <x:c r="P49" s="173" t="n">
        <x:v>16266</x:v>
      </x:c>
      <x:c r="Q49" s="173" t="n">
        <x:v>349</x:v>
      </x:c>
      <x:c r="R49" s="173" t="n">
        <x:v>16615</x:v>
      </x:c>
      <x:c r="S49" s="175" t="n">
        <x:v>0.001766</x:v>
      </x:c>
      <x:c r="T49" s="177" t="n">
        <x:v>4.97</x:v>
      </x:c>
      <x:c r="U49" s="179"/>
    </x:row>
    <x:row r="50">
      <x:c r="A50" s="160" t="str">
        <x:v>CLM-8941</x:v>
      </x:c>
      <x:c r="B50" s="161" t="str">
        <x:v>V1</x:v>
      </x:c>
      <x:c r="C50" s="161" t="n">
        <x:v>1</x:v>
      </x:c>
      <x:c r="D50" s="171" t="n">
        <x:v>0</x:v>
      </x:c>
      <x:c r="E50" s="171" t="n">
        <x:v>1</x:v>
      </x:c>
      <x:c r="F50" s="171" t="n">
        <x:v>1</x:v>
      </x:c>
      <x:c r="G50" s="171" t="n">
        <x:v>0</x:v>
      </x:c>
      <x:c r="H50" s="171" t="n">
        <x:v>0</x:v>
      </x:c>
      <x:c r="I50" s="173" t="n">
        <x:v>6</x:v>
      </x:c>
      <x:c r="J50" s="173" t="n">
        <x:v>5</x:v>
      </x:c>
      <x:c r="K50" s="173" t="n">
        <x:v>5</x:v>
      </x:c>
      <x:c r="L50" s="173" t="n">
        <x:v>0</x:v>
      </x:c>
      <x:c r="M50" s="173" t="n">
        <x:v>0</x:v>
      </x:c>
      <x:c r="N50" s="173" t="n">
        <x:v>939</x:v>
      </x:c>
      <x:c r="O50" s="173" t="n">
        <x:v>292</x:v>
      </x:c>
      <x:c r="P50" s="173" t="n">
        <x:v>13700</x:v>
      </x:c>
      <x:c r="Q50" s="173" t="n">
        <x:v>382</x:v>
      </x:c>
      <x:c r="R50" s="173" t="n">
        <x:v>14082</x:v>
      </x:c>
      <x:c r="S50" s="175" t="n">
        <x:v>0.001523</x:v>
      </x:c>
      <x:c r="T50" s="177" t="n">
        <x:v>5.55</x:v>
      </x:c>
      <x:c r="U50" s="179"/>
    </x:row>
    <x:row r="51">
      <x:c r="A51" s="160" t="str">
        <x:v>CLM-8941</x:v>
      </x:c>
      <x:c r="B51" s="161" t="str">
        <x:v>V1</x:v>
      </x:c>
      <x:c r="C51" s="161" t="n">
        <x:v>2</x:v>
      </x:c>
      <x:c r="D51" s="171" t="n">
        <x:v>0</x:v>
      </x:c>
      <x:c r="E51" s="171" t="n">
        <x:v>1</x:v>
      </x:c>
      <x:c r="F51" s="171" t="n">
        <x:v>1</x:v>
      </x:c>
      <x:c r="G51" s="171" t="n">
        <x:v>0</x:v>
      </x:c>
      <x:c r="H51" s="171" t="n">
        <x:v>0</x:v>
      </x:c>
      <x:c r="I51" s="173" t="n">
        <x:v>6</x:v>
      </x:c>
      <x:c r="J51" s="173" t="n">
        <x:v>5</x:v>
      </x:c>
      <x:c r="K51" s="173" t="n">
        <x:v>5</x:v>
      </x:c>
      <x:c r="L51" s="173" t="n">
        <x:v>0</x:v>
      </x:c>
      <x:c r="M51" s="173" t="n">
        <x:v>0</x:v>
      </x:c>
      <x:c r="N51" s="173" t="n">
        <x:v>939</x:v>
      </x:c>
      <x:c r="O51" s="173" t="n">
        <x:v>292</x:v>
      </x:c>
      <x:c r="P51" s="173" t="n">
        <x:v>13722</x:v>
      </x:c>
      <x:c r="Q51" s="173" t="n">
        <x:v>416</x:v>
      </x:c>
      <x:c r="R51" s="173" t="n">
        <x:v>14138</x:v>
      </x:c>
      <x:c r="S51" s="175" t="n">
        <x:v>0.001539</x:v>
      </x:c>
      <x:c r="T51" s="177" t="n">
        <x:v>5.523</x:v>
      </x:c>
      <x:c r="U51" s="179"/>
    </x:row>
    <x:row r="52">
      <x:c r="A52" s="160" t="str">
        <x:v>CLM-8941</x:v>
      </x:c>
      <x:c r="B52" s="161" t="str">
        <x:v>V1</x:v>
      </x:c>
      <x:c r="C52" s="161" t="n">
        <x:v>3</x:v>
      </x:c>
      <x:c r="D52" s="171" t="n">
        <x:v>0</x:v>
      </x:c>
      <x:c r="E52" s="171" t="n">
        <x:v>0</x:v>
      </x:c>
      <x:c r="F52" s="171" t="n">
        <x:v>1</x:v>
      </x:c>
      <x:c r="G52" s="171" t="n">
        <x:v>0</x:v>
      </x:c>
      <x:c r="H52" s="171" t="n">
        <x:v>0</x:v>
      </x:c>
      <x:c r="I52" s="173" t="n">
        <x:v>6</x:v>
      </x:c>
      <x:c r="J52" s="173" t="n">
        <x:v>5</x:v>
      </x:c>
      <x:c r="K52" s="173" t="n">
        <x:v>5</x:v>
      </x:c>
      <x:c r="L52" s="173" t="n">
        <x:v>0</x:v>
      </x:c>
      <x:c r="M52" s="173" t="n">
        <x:v>0</x:v>
      </x:c>
      <x:c r="N52" s="173" t="n">
        <x:v>939</x:v>
      </x:c>
      <x:c r="O52" s="173" t="n">
        <x:v>292</x:v>
      </x:c>
      <x:c r="P52" s="173" t="n">
        <x:v>13722</x:v>
      </x:c>
      <x:c r="Q52" s="173" t="n">
        <x:v>420</x:v>
      </x:c>
      <x:c r="R52" s="173" t="n">
        <x:v>14142</x:v>
      </x:c>
      <x:c r="S52" s="175" t="n">
        <x:v>0.00154</x:v>
      </x:c>
      <x:c r="T52" s="177" t="n">
        <x:v>6.155</x:v>
      </x:c>
      <x:c r="U52" s="179"/>
    </x:row>
    <x:row r="53">
      <x:c r="A53" s="160" t="str">
        <x:v>CLM-8952</x:v>
      </x:c>
      <x:c r="B53" s="161" t="str">
        <x:v>V1</x:v>
      </x:c>
      <x:c r="C53" s="161" t="n">
        <x:v>1</x:v>
      </x:c>
      <x:c r="D53" s="171" t="n">
        <x:v>0</x:v>
      </x:c>
      <x:c r="E53" s="171" t="n">
        <x:v>1</x:v>
      </x:c>
      <x:c r="F53" s="171" t="n">
        <x:v>1</x:v>
      </x:c>
      <x:c r="G53" s="171" t="n">
        <x:v>0</x:v>
      </x:c>
      <x:c r="H53" s="171" t="n">
        <x:v>0</x:v>
      </x:c>
      <x:c r="I53" s="173" t="n">
        <x:v>6</x:v>
      </x:c>
      <x:c r="J53" s="173" t="n">
        <x:v>5</x:v>
      </x:c>
      <x:c r="K53" s="173" t="n">
        <x:v>5</x:v>
      </x:c>
      <x:c r="L53" s="173" t="n">
        <x:v>0</x:v>
      </x:c>
      <x:c r="M53" s="173" t="n">
        <x:v>0</x:v>
      </x:c>
      <x:c r="N53" s="173" t="n">
        <x:v>959</x:v>
      </x:c>
      <x:c r="O53" s="173" t="n">
        <x:v>307</x:v>
      </x:c>
      <x:c r="P53" s="173" t="n">
        <x:v>13766</x:v>
      </x:c>
      <x:c r="Q53" s="173" t="n">
        <x:v>411</x:v>
      </x:c>
      <x:c r="R53" s="173" t="n">
        <x:v>14177</x:v>
      </x:c>
      <x:c r="S53" s="175" t="n">
        <x:v>0.001541</x:v>
      </x:c>
      <x:c r="T53" s="177" t="n">
        <x:v>6.253</x:v>
      </x:c>
      <x:c r="U53" s="179"/>
    </x:row>
    <x:row r="54">
      <x:c r="A54" s="160" t="str">
        <x:v>CLM-8952</x:v>
      </x:c>
      <x:c r="B54" s="161" t="str">
        <x:v>V1</x:v>
      </x:c>
      <x:c r="C54" s="161" t="n">
        <x:v>2</x:v>
      </x:c>
      <x:c r="D54" s="171" t="n">
        <x:v>0</x:v>
      </x:c>
      <x:c r="E54" s="171" t="n">
        <x:v>1</x:v>
      </x:c>
      <x:c r="F54" s="171" t="n">
        <x:v>1</x:v>
      </x:c>
      <x:c r="G54" s="171" t="n">
        <x:v>0</x:v>
      </x:c>
      <x:c r="H54" s="171" t="n">
        <x:v>0</x:v>
      </x:c>
      <x:c r="I54" s="173" t="n">
        <x:v>6</x:v>
      </x:c>
      <x:c r="J54" s="173" t="n">
        <x:v>5</x:v>
      </x:c>
      <x:c r="K54" s="173" t="n">
        <x:v>5</x:v>
      </x:c>
      <x:c r="L54" s="173" t="n">
        <x:v>0</x:v>
      </x:c>
      <x:c r="M54" s="173" t="n">
        <x:v>0</x:v>
      </x:c>
      <x:c r="N54" s="173" t="n">
        <x:v>959</x:v>
      </x:c>
      <x:c r="O54" s="173" t="n">
        <x:v>307</x:v>
      </x:c>
      <x:c r="P54" s="173" t="n">
        <x:v>13766</x:v>
      </x:c>
      <x:c r="Q54" s="173" t="n">
        <x:v>562</x:v>
      </x:c>
      <x:c r="R54" s="173" t="n">
        <x:v>14328</x:v>
      </x:c>
      <x:c r="S54" s="175" t="n">
        <x:v>0.001601</x:v>
      </x:c>
      <x:c r="T54" s="177" t="n">
        <x:v>6.923</x:v>
      </x:c>
      <x:c r="U54" s="179"/>
    </x:row>
    <x:row r="55">
      <x:c r="A55" s="160" t="str">
        <x:v>CLM-8952</x:v>
      </x:c>
      <x:c r="B55" s="161" t="str">
        <x:v>V1</x:v>
      </x:c>
      <x:c r="C55" s="161" t="n">
        <x:v>3</x:v>
      </x:c>
      <x:c r="D55" s="171" t="n">
        <x:v>0</x:v>
      </x:c>
      <x:c r="E55" s="171" t="n">
        <x:v>1</x:v>
      </x:c>
      <x:c r="F55" s="171" t="n">
        <x:v>1</x:v>
      </x:c>
      <x:c r="G55" s="171" t="n">
        <x:v>0</x:v>
      </x:c>
      <x:c r="H55" s="171" t="n">
        <x:v>0</x:v>
      </x:c>
      <x:c r="I55" s="173" t="n">
        <x:v>6</x:v>
      </x:c>
      <x:c r="J55" s="173" t="n">
        <x:v>5</x:v>
      </x:c>
      <x:c r="K55" s="173" t="n">
        <x:v>5</x:v>
      </x:c>
      <x:c r="L55" s="173" t="n">
        <x:v>0</x:v>
      </x:c>
      <x:c r="M55" s="173" t="n">
        <x:v>0</x:v>
      </x:c>
      <x:c r="N55" s="173" t="n">
        <x:v>948</x:v>
      </x:c>
      <x:c r="O55" s="173" t="n">
        <x:v>310</x:v>
      </x:c>
      <x:c r="P55" s="173" t="n">
        <x:v>13674</x:v>
      </x:c>
      <x:c r="Q55" s="173" t="n">
        <x:v>292</x:v>
      </x:c>
      <x:c r="R55" s="173" t="n">
        <x:v>13966</x:v>
      </x:c>
      <x:c r="S55" s="175" t="n">
        <x:v>0.001484</x:v>
      </x:c>
      <x:c r="T55" s="177" t="n">
        <x:v>4.122</x:v>
      </x:c>
      <x:c r="U55" s="179"/>
    </x:row>
    <x:row r="56">
      <x:c r="A56" s="160" t="str">
        <x:v>CLM-8960</x:v>
      </x:c>
      <x:c r="B56" s="161" t="str">
        <x:v>V1</x:v>
      </x:c>
      <x:c r="C56" s="161" t="n">
        <x:v>1</x:v>
      </x:c>
      <x:c r="D56" s="171" t="n">
        <x:v>0</x:v>
      </x:c>
      <x:c r="E56" s="171" t="n">
        <x:v>0</x:v>
      </x:c>
      <x:c r="F56" s="171" t="n">
        <x:v>0</x:v>
      </x:c>
      <x:c r="G56" s="171" t="n">
        <x:v>0</x:v>
      </x:c>
      <x:c r="H56" s="171" t="n">
        <x:v>0</x:v>
      </x:c>
      <x:c r="I56" s="173" t="n">
        <x:v>6</x:v>
      </x:c>
      <x:c r="J56" s="173" t="n">
        <x:v>5</x:v>
      </x:c>
      <x:c r="K56" s="173" t="n">
        <x:v>8</x:v>
      </x:c>
      <x:c r="L56" s="173" t="n">
        <x:v>0</x:v>
      </x:c>
      <x:c r="M56" s="173" t="n">
        <x:v>0</x:v>
      </x:c>
      <x:c r="N56" s="173" t="n">
        <x:v>1481</x:v>
      </x:c>
      <x:c r="O56" s="173" t="n">
        <x:v>469</x:v>
      </x:c>
      <x:c r="P56" s="173" t="n">
        <x:v>14313</x:v>
      </x:c>
      <x:c r="Q56" s="173" t="n">
        <x:v>567</x:v>
      </x:c>
      <x:c r="R56" s="173" t="n">
        <x:v>14880</x:v>
      </x:c>
      <x:c r="S56" s="175" t="n">
        <x:v>0.001658</x:v>
      </x:c>
      <x:c r="T56" s="177" t="n">
        <x:v>5.055</x:v>
      </x:c>
      <x:c r="U56" s="179" t="str">
        <x:v>JSONDecodeError: Expecting ',' delimiter: line 5 column 25 (char 173)</x:v>
      </x:c>
    </x:row>
    <x:row r="57">
      <x:c r="A57" s="160" t="str">
        <x:v>CLM-8971</x:v>
      </x:c>
      <x:c r="B57" s="161" t="str">
        <x:v>V1</x:v>
      </x:c>
      <x:c r="C57" s="161" t="n">
        <x:v>1</x:v>
      </x:c>
      <x:c r="D57" s="171" t="n">
        <x:v>1</x:v>
      </x:c>
      <x:c r="E57" s="171" t="n">
        <x:v>1</x:v>
      </x:c>
      <x:c r="F57" s="171" t="n">
        <x:v>1</x:v>
      </x:c>
      <x:c r="G57" s="171" t="n">
        <x:v>1</x:v>
      </x:c>
      <x:c r="H57" s="171" t="n">
        <x:v>1</x:v>
      </x:c>
      <x:c r="I57" s="173" t="n">
        <x:v>5</x:v>
      </x:c>
      <x:c r="J57" s="173" t="n">
        <x:v>4</x:v>
      </x:c>
      <x:c r="K57" s="173" t="n">
        <x:v>4</x:v>
      </x:c>
      <x:c r="L57" s="173" t="n">
        <x:v>0</x:v>
      </x:c>
      <x:c r="M57" s="173" t="n">
        <x:v>0</x:v>
      </x:c>
      <x:c r="N57" s="173" t="n">
        <x:v>764</x:v>
      </x:c>
      <x:c r="O57" s="173" t="n">
        <x:v>253</x:v>
      </x:c>
      <x:c r="P57" s="173" t="n">
        <x:v>10997</x:v>
      </x:c>
      <x:c r="Q57" s="173" t="n">
        <x:v>247</x:v>
      </x:c>
      <x:c r="R57" s="173" t="n">
        <x:v>11244</x:v>
      </x:c>
      <x:c r="S57" s="175" t="n">
        <x:v>0.001199</x:v>
      </x:c>
      <x:c r="T57" s="177" t="n">
        <x:v>2.42</x:v>
      </x:c>
      <x:c r="U57" s="179"/>
    </x:row>
    <x:row r="58">
      <x:c r="A58" s="160" t="str">
        <x:v>CLM-9001</x:v>
      </x:c>
      <x:c r="B58" s="161" t="str">
        <x:v>V1</x:v>
      </x:c>
      <x:c r="C58" s="161" t="n">
        <x:v>1</x:v>
      </x:c>
      <x:c r="D58" s="171" t="n">
        <x:v>1</x:v>
      </x:c>
      <x:c r="E58" s="171" t="n">
        <x:v>1</x:v>
      </x:c>
      <x:c r="F58" s="171" t="n">
        <x:v>1</x:v>
      </x:c>
      <x:c r="G58" s="171" t="n">
        <x:v>1</x:v>
      </x:c>
      <x:c r="H58" s="171" t="n">
        <x:v>1</x:v>
      </x:c>
      <x:c r="I58" s="173" t="n">
        <x:v>6</x:v>
      </x:c>
      <x:c r="J58" s="173" t="n">
        <x:v>5</x:v>
      </x:c>
      <x:c r="K58" s="173" t="n">
        <x:v>5</x:v>
      </x:c>
      <x:c r="L58" s="173" t="n">
        <x:v>0</x:v>
      </x:c>
      <x:c r="M58" s="173" t="n">
        <x:v>0</x:v>
      </x:c>
      <x:c r="N58" s="173" t="n">
        <x:v>851</x:v>
      </x:c>
      <x:c r="O58" s="173" t="n">
        <x:v>276</x:v>
      </x:c>
      <x:c r="P58" s="173" t="n">
        <x:v>13424</x:v>
      </x:c>
      <x:c r="Q58" s="173" t="n">
        <x:v>275</x:v>
      </x:c>
      <x:c r="R58" s="173" t="n">
        <x:v>13699</x:v>
      </x:c>
      <x:c r="S58" s="175" t="n">
        <x:v>0.001452</x:v>
      </x:c>
      <x:c r="T58" s="177" t="n">
        <x:v>2.697</x:v>
      </x:c>
      <x:c r="U58" s="179"/>
    </x:row>
    <x:row r="59">
      <x:c r="A59" s="160" t="str">
        <x:v>CLM-9002</x:v>
      </x:c>
      <x:c r="B59" s="161" t="str">
        <x:v>V1</x:v>
      </x:c>
      <x:c r="C59" s="161" t="n">
        <x:v>1</x:v>
      </x:c>
      <x:c r="D59" s="171" t="n">
        <x:v>1</x:v>
      </x:c>
      <x:c r="E59" s="171" t="n">
        <x:v>1</x:v>
      </x:c>
      <x:c r="F59" s="171" t="n">
        <x:v>1</x:v>
      </x:c>
      <x:c r="G59" s="171" t="n">
        <x:v>1</x:v>
      </x:c>
      <x:c r="H59" s="171" t="n">
        <x:v>1</x:v>
      </x:c>
      <x:c r="I59" s="173" t="n">
        <x:v>6</x:v>
      </x:c>
      <x:c r="J59" s="173" t="n">
        <x:v>5</x:v>
      </x:c>
      <x:c r="K59" s="173" t="n">
        <x:v>5</x:v>
      </x:c>
      <x:c r="L59" s="173" t="n">
        <x:v>0</x:v>
      </x:c>
      <x:c r="M59" s="173" t="n">
        <x:v>0</x:v>
      </x:c>
      <x:c r="N59" s="173" t="n">
        <x:v>841</x:v>
      </x:c>
      <x:c r="O59" s="173" t="n">
        <x:v>269</x:v>
      </x:c>
      <x:c r="P59" s="173" t="n">
        <x:v>13388</x:v>
      </x:c>
      <x:c r="Q59" s="173" t="n">
        <x:v>283</x:v>
      </x:c>
      <x:c r="R59" s="173" t="n">
        <x:v>13671</x:v>
      </x:c>
      <x:c r="S59" s="175" t="n">
        <x:v>0.001452</x:v>
      </x:c>
      <x:c r="T59" s="177" t="n">
        <x:v>3.206</x:v>
      </x:c>
      <x:c r="U59" s="179"/>
    </x:row>
    <x:row r="60">
      <x:c r="A60" s="160" t="str">
        <x:v>CLM-9003</x:v>
      </x:c>
      <x:c r="B60" s="161" t="str">
        <x:v>V1</x:v>
      </x:c>
      <x:c r="C60" s="161" t="n">
        <x:v>1</x:v>
      </x:c>
      <x:c r="D60" s="171" t="n">
        <x:v>1</x:v>
      </x:c>
      <x:c r="E60" s="171" t="n">
        <x:v>1</x:v>
      </x:c>
      <x:c r="F60" s="171" t="n">
        <x:v>1</x:v>
      </x:c>
      <x:c r="G60" s="171" t="n">
        <x:v>1</x:v>
      </x:c>
      <x:c r="H60" s="171" t="n">
        <x:v>1</x:v>
      </x:c>
      <x:c r="I60" s="173" t="n">
        <x:v>7</x:v>
      </x:c>
      <x:c r="J60" s="173" t="n">
        <x:v>6</x:v>
      </x:c>
      <x:c r="K60" s="173" t="n">
        <x:v>6</x:v>
      </x:c>
      <x:c r="L60" s="173" t="n">
        <x:v>0</x:v>
      </x:c>
      <x:c r="M60" s="173" t="n">
        <x:v>0</x:v>
      </x:c>
      <x:c r="N60" s="173" t="n">
        <x:v>865</x:v>
      </x:c>
      <x:c r="O60" s="173" t="n">
        <x:v>280</x:v>
      </x:c>
      <x:c r="P60" s="173" t="n">
        <x:v>15944</x:v>
      </x:c>
      <x:c r="Q60" s="173" t="n">
        <x:v>348</x:v>
      </x:c>
      <x:c r="R60" s="173" t="n">
        <x:v>16292</x:v>
      </x:c>
      <x:c r="S60" s="175" t="n">
        <x:v>0.001734</x:v>
      </x:c>
      <x:c r="T60" s="177" t="n">
        <x:v>4.145</x:v>
      </x:c>
      <x:c r="U60" s="179"/>
    </x:row>
    <x:row r="61">
      <x:c r="A61" s="160" t="str">
        <x:v>CLM-9004</x:v>
      </x:c>
      <x:c r="B61" s="161" t="str">
        <x:v>V1</x:v>
      </x:c>
      <x:c r="C61" s="161" t="n">
        <x:v>1</x:v>
      </x:c>
      <x:c r="D61" s="171" t="n">
        <x:v>1</x:v>
      </x:c>
      <x:c r="E61" s="171" t="n">
        <x:v>1</x:v>
      </x:c>
      <x:c r="F61" s="171" t="n">
        <x:v>1</x:v>
      </x:c>
      <x:c r="G61" s="171" t="n">
        <x:v>1</x:v>
      </x:c>
      <x:c r="H61" s="171" t="n">
        <x:v>1</x:v>
      </x:c>
      <x:c r="I61" s="173" t="n">
        <x:v>6</x:v>
      </x:c>
      <x:c r="J61" s="173" t="n">
        <x:v>5</x:v>
      </x:c>
      <x:c r="K61" s="173" t="n">
        <x:v>5</x:v>
      </x:c>
      <x:c r="L61" s="173" t="n">
        <x:v>0</x:v>
      </x:c>
      <x:c r="M61" s="173" t="n">
        <x:v>0</x:v>
      </x:c>
      <x:c r="N61" s="173" t="n">
        <x:v>911</x:v>
      </x:c>
      <x:c r="O61" s="173" t="n">
        <x:v>292</x:v>
      </x:c>
      <x:c r="P61" s="173" t="n">
        <x:v>13504</x:v>
      </x:c>
      <x:c r="Q61" s="173" t="n">
        <x:v>276</x:v>
      </x:c>
      <x:c r="R61" s="173" t="n">
        <x:v>13780</x:v>
      </x:c>
      <x:c r="S61" s="175" t="n">
        <x:v>0.001461</x:v>
      </x:c>
      <x:c r="T61" s="177" t="n">
        <x:v>3.449</x:v>
      </x:c>
      <x:c r="U61" s="179"/>
    </x:row>
    <x:row r="62">
      <x:c r="A62" s="160" t="str">
        <x:v>CLM-9005</x:v>
      </x:c>
      <x:c r="B62" s="161" t="str">
        <x:v>V1</x:v>
      </x:c>
      <x:c r="C62" s="161" t="n">
        <x:v>1</x:v>
      </x:c>
      <x:c r="D62" s="171" t="n">
        <x:v>0</x:v>
      </x:c>
      <x:c r="E62" s="171" t="n">
        <x:v>0</x:v>
      </x:c>
      <x:c r="F62" s="171" t="n">
        <x:v>1</x:v>
      </x:c>
      <x:c r="G62" s="171" t="n">
        <x:v>1</x:v>
      </x:c>
      <x:c r="H62" s="171" t="n">
        <x:v>0</x:v>
      </x:c>
      <x:c r="I62" s="173" t="n">
        <x:v>7</x:v>
      </x:c>
      <x:c r="J62" s="173" t="n">
        <x:v>6</x:v>
      </x:c>
      <x:c r="K62" s="173" t="n">
        <x:v>6</x:v>
      </x:c>
      <x:c r="L62" s="173" t="n">
        <x:v>0</x:v>
      </x:c>
      <x:c r="M62" s="173" t="n">
        <x:v>0</x:v>
      </x:c>
      <x:c r="N62" s="173" t="n">
        <x:v>973</x:v>
      </x:c>
      <x:c r="O62" s="173" t="n">
        <x:v>315</x:v>
      </x:c>
      <x:c r="P62" s="173" t="n">
        <x:v>16253</x:v>
      </x:c>
      <x:c r="Q62" s="173" t="n">
        <x:v>417</x:v>
      </x:c>
      <x:c r="R62" s="173" t="n">
        <x:v>16670</x:v>
      </x:c>
      <x:c r="S62" s="175" t="n">
        <x:v>0.001792</x:v>
      </x:c>
      <x:c r="T62" s="177" t="n">
        <x:v>4.673</x:v>
      </x:c>
      <x:c r="U62" s="179"/>
    </x:row>
    <x:row r="63">
      <x:c r="A63" s="160" t="str">
        <x:v>CLM-9006</x:v>
      </x:c>
      <x:c r="B63" s="161" t="str">
        <x:v>V1</x:v>
      </x:c>
      <x:c r="C63" s="161" t="n">
        <x:v>1</x:v>
      </x:c>
      <x:c r="D63" s="171" t="n">
        <x:v>0</x:v>
      </x:c>
      <x:c r="E63" s="171" t="n">
        <x:v>0</x:v>
      </x:c>
      <x:c r="F63" s="171" t="n">
        <x:v>1</x:v>
      </x:c>
      <x:c r="G63" s="171" t="n">
        <x:v>1</x:v>
      </x:c>
      <x:c r="H63" s="171" t="n">
        <x:v>0</x:v>
      </x:c>
      <x:c r="I63" s="173" t="n">
        <x:v>7</x:v>
      </x:c>
      <x:c r="J63" s="173" t="n">
        <x:v>6</x:v>
      </x:c>
      <x:c r="K63" s="173" t="n">
        <x:v>6</x:v>
      </x:c>
      <x:c r="L63" s="173" t="n">
        <x:v>0</x:v>
      </x:c>
      <x:c r="M63" s="173" t="n">
        <x:v>0</x:v>
      </x:c>
      <x:c r="N63" s="173" t="n">
        <x:v>891</x:v>
      </x:c>
      <x:c r="O63" s="173" t="n">
        <x:v>292</x:v>
      </x:c>
      <x:c r="P63" s="173" t="n">
        <x:v>16091</x:v>
      </x:c>
      <x:c r="Q63" s="173" t="n">
        <x:v>344</x:v>
      </x:c>
      <x:c r="R63" s="173" t="n">
        <x:v>16435</x:v>
      </x:c>
      <x:c r="S63" s="175" t="n">
        <x:v>0.001747</x:v>
      </x:c>
      <x:c r="T63" s="177" t="n">
        <x:v>4.595</x:v>
      </x:c>
      <x:c r="U63" s="179"/>
    </x:row>
    <x:row r="64">
      <x:c r="A64" s="160" t="str">
        <x:v>CLM-9007</x:v>
      </x:c>
      <x:c r="B64" s="161" t="str">
        <x:v>V1</x:v>
      </x:c>
      <x:c r="C64" s="161" t="n">
        <x:v>1</x:v>
      </x:c>
      <x:c r="D64" s="171" t="n">
        <x:v>1</x:v>
      </x:c>
      <x:c r="E64" s="171" t="n">
        <x:v>0</x:v>
      </x:c>
      <x:c r="F64" s="171" t="n">
        <x:v>1</x:v>
      </x:c>
      <x:c r="G64" s="171" t="n">
        <x:v>1</x:v>
      </x:c>
      <x:c r="H64" s="171" t="n">
        <x:v>0</x:v>
      </x:c>
      <x:c r="I64" s="173" t="n">
        <x:v>6</x:v>
      </x:c>
      <x:c r="J64" s="173" t="n">
        <x:v>5</x:v>
      </x:c>
      <x:c r="K64" s="173" t="n">
        <x:v>6</x:v>
      </x:c>
      <x:c r="L64" s="173" t="n">
        <x:v>0</x:v>
      </x:c>
      <x:c r="M64" s="173" t="n">
        <x:v>0</x:v>
      </x:c>
      <x:c r="N64" s="173" t="n">
        <x:v>1033</x:v>
      </x:c>
      <x:c r="O64" s="173" t="n">
        <x:v>335</x:v>
      </x:c>
      <x:c r="P64" s="173" t="n">
        <x:v>13933</x:v>
      </x:c>
      <x:c r="Q64" s="173" t="n">
        <x:v>420</x:v>
      </x:c>
      <x:c r="R64" s="173" t="n">
        <x:v>14353</x:v>
      </x:c>
      <x:c r="S64" s="175" t="n">
        <x:v>0.001561</x:v>
      </x:c>
      <x:c r="T64" s="177" t="n">
        <x:v>4.287</x:v>
      </x:c>
      <x:c r="U64" s="179"/>
    </x:row>
    <x:row r="65">
      <x:c r="A65" s="160" t="str">
        <x:v>CLM-9008</x:v>
      </x:c>
      <x:c r="B65" s="161" t="str">
        <x:v>V1</x:v>
      </x:c>
      <x:c r="C65" s="161" t="n">
        <x:v>1</x:v>
      </x:c>
      <x:c r="D65" s="171" t="n">
        <x:v>1</x:v>
      </x:c>
      <x:c r="E65" s="171" t="n">
        <x:v>1</x:v>
      </x:c>
      <x:c r="F65" s="171" t="n">
        <x:v>1</x:v>
      </x:c>
      <x:c r="G65" s="171" t="n">
        <x:v>1</x:v>
      </x:c>
      <x:c r="H65" s="171" t="n">
        <x:v>1</x:v>
      </x:c>
      <x:c r="I65" s="173" t="n">
        <x:v>7</x:v>
      </x:c>
      <x:c r="J65" s="173" t="n">
        <x:v>6</x:v>
      </x:c>
      <x:c r="K65" s="173" t="n">
        <x:v>6</x:v>
      </x:c>
      <x:c r="L65" s="173" t="n">
        <x:v>0</x:v>
      </x:c>
      <x:c r="M65" s="173" t="n">
        <x:v>0</x:v>
      </x:c>
      <x:c r="N65" s="173" t="n">
        <x:v>987</x:v>
      </x:c>
      <x:c r="O65" s="173" t="n">
        <x:v>319</x:v>
      </x:c>
      <x:c r="P65" s="173" t="n">
        <x:v>16188</x:v>
      </x:c>
      <x:c r="Q65" s="173" t="n">
        <x:v>345</x:v>
      </x:c>
      <x:c r="R65" s="173" t="n">
        <x:v>16533</x:v>
      </x:c>
      <x:c r="S65" s="175" t="n">
        <x:v>0.001757</x:v>
      </x:c>
      <x:c r="T65" s="177" t="n">
        <x:v>4.048</x:v>
      </x:c>
      <x:c r="U65" s="179"/>
    </x:row>
    <x:row r="66">
      <x:c r="A66" s="160" t="str">
        <x:v>CLM-9009</x:v>
      </x:c>
      <x:c r="B66" s="161" t="str">
        <x:v>V1</x:v>
      </x:c>
      <x:c r="C66" s="161" t="n">
        <x:v>1</x:v>
      </x:c>
      <x:c r="D66" s="171" t="n">
        <x:v>1</x:v>
      </x:c>
      <x:c r="E66" s="171" t="n">
        <x:v>1</x:v>
      </x:c>
      <x:c r="F66" s="171" t="n">
        <x:v>1</x:v>
      </x:c>
      <x:c r="G66" s="171" t="n">
        <x:v>1</x:v>
      </x:c>
      <x:c r="H66" s="171" t="n">
        <x:v>1</x:v>
      </x:c>
      <x:c r="I66" s="173" t="n">
        <x:v>6</x:v>
      </x:c>
      <x:c r="J66" s="173" t="n">
        <x:v>5</x:v>
      </x:c>
      <x:c r="K66" s="173" t="n">
        <x:v>5</x:v>
      </x:c>
      <x:c r="L66" s="173" t="n">
        <x:v>0</x:v>
      </x:c>
      <x:c r="M66" s="173" t="n">
        <x:v>0</x:v>
      </x:c>
      <x:c r="N66" s="173" t="n">
        <x:v>1229</x:v>
      </x:c>
      <x:c r="O66" s="173" t="n">
        <x:v>409</x:v>
      </x:c>
      <x:c r="P66" s="173" t="n">
        <x:v>13931</x:v>
      </x:c>
      <x:c r="Q66" s="173" t="n">
        <x:v>308</x:v>
      </x:c>
      <x:c r="R66" s="173" t="n">
        <x:v>14239</x:v>
      </x:c>
      <x:c r="S66" s="175" t="n">
        <x:v>0.001516</x:v>
      </x:c>
      <x:c r="T66" s="177" t="n">
        <x:v>3.42</x:v>
      </x:c>
      <x:c r="U66" s="179"/>
    </x:row>
    <x:row r="67">
      <x:c r="A67" s="160" t="str">
        <x:v>CLM-9010</x:v>
      </x:c>
      <x:c r="B67" s="161" t="str">
        <x:v>V1</x:v>
      </x:c>
      <x:c r="C67" s="161" t="n">
        <x:v>1</x:v>
      </x:c>
      <x:c r="D67" s="171" t="n">
        <x:v>1</x:v>
      </x:c>
      <x:c r="E67" s="171" t="n">
        <x:v>1</x:v>
      </x:c>
      <x:c r="F67" s="171" t="n">
        <x:v>1</x:v>
      </x:c>
      <x:c r="G67" s="171" t="n">
        <x:v>1</x:v>
      </x:c>
      <x:c r="H67" s="171" t="n">
        <x:v>1</x:v>
      </x:c>
      <x:c r="I67" s="173" t="n">
        <x:v>7</x:v>
      </x:c>
      <x:c r="J67" s="173" t="n">
        <x:v>6</x:v>
      </x:c>
      <x:c r="K67" s="173" t="n">
        <x:v>6</x:v>
      </x:c>
      <x:c r="L67" s="173" t="n">
        <x:v>0</x:v>
      </x:c>
      <x:c r="M67" s="173" t="n">
        <x:v>0</x:v>
      </x:c>
      <x:c r="N67" s="173" t="n">
        <x:v>1301</x:v>
      </x:c>
      <x:c r="O67" s="173" t="n">
        <x:v>440</x:v>
      </x:c>
      <x:c r="P67" s="173" t="n">
        <x:v>16512</x:v>
      </x:c>
      <x:c r="Q67" s="173" t="n">
        <x:v>376</x:v>
      </x:c>
      <x:c r="R67" s="173" t="n">
        <x:v>16888</x:v>
      </x:c>
      <x:c r="S67" s="175" t="n">
        <x:v>0.001802</x:v>
      </x:c>
      <x:c r="T67" s="177" t="n">
        <x:v>4.239</x:v>
      </x:c>
      <x:c r="U67" s="179"/>
    </x:row>
    <x:row r="68">
      <x:c r="A68" s="160" t="str">
        <x:v>CLM-9011</x:v>
      </x:c>
      <x:c r="B68" s="161" t="str">
        <x:v>V1</x:v>
      </x:c>
      <x:c r="C68" s="161" t="n">
        <x:v>1</x:v>
      </x:c>
      <x:c r="D68" s="171" t="n">
        <x:v>1</x:v>
      </x:c>
      <x:c r="E68" s="171" t="n">
        <x:v>1</x:v>
      </x:c>
      <x:c r="F68" s="171" t="n">
        <x:v>1</x:v>
      </x:c>
      <x:c r="G68" s="171" t="n">
        <x:v>1</x:v>
      </x:c>
      <x:c r="H68" s="171" t="n">
        <x:v>1</x:v>
      </x:c>
      <x:c r="I68" s="173" t="n">
        <x:v>7</x:v>
      </x:c>
      <x:c r="J68" s="173" t="n">
        <x:v>6</x:v>
      </x:c>
      <x:c r="K68" s="173" t="n">
        <x:v>6</x:v>
      </x:c>
      <x:c r="L68" s="173" t="n">
        <x:v>0</x:v>
      </x:c>
      <x:c r="M68" s="173" t="n">
        <x:v>0</x:v>
      </x:c>
      <x:c r="N68" s="173" t="n">
        <x:v>1283</x:v>
      </x:c>
      <x:c r="O68" s="173" t="n">
        <x:v>429</x:v>
      </x:c>
      <x:c r="P68" s="173" t="n">
        <x:v>16385</x:v>
      </x:c>
      <x:c r="Q68" s="173" t="n">
        <x:v>378</x:v>
      </x:c>
      <x:c r="R68" s="173" t="n">
        <x:v>16763</x:v>
      </x:c>
      <x:c r="S68" s="175" t="n">
        <x:v>0.00179</x:v>
      </x:c>
      <x:c r="T68" s="177" t="n">
        <x:v>4.114</x:v>
      </x:c>
      <x:c r="U68" s="179"/>
    </x:row>
    <x:row r="69">
      <x:c r="A69" s="160" t="str">
        <x:v>CLM-9012</x:v>
      </x:c>
      <x:c r="B69" s="161" t="str">
        <x:v>V1</x:v>
      </x:c>
      <x:c r="C69" s="161" t="n">
        <x:v>1</x:v>
      </x:c>
      <x:c r="D69" s="171" t="n">
        <x:v>1</x:v>
      </x:c>
      <x:c r="E69" s="171" t="n">
        <x:v>1</x:v>
      </x:c>
      <x:c r="F69" s="171" t="n">
        <x:v>1</x:v>
      </x:c>
      <x:c r="G69" s="171" t="n">
        <x:v>1</x:v>
      </x:c>
      <x:c r="H69" s="171" t="n">
        <x:v>1</x:v>
      </x:c>
      <x:c r="I69" s="173" t="n">
        <x:v>7</x:v>
      </x:c>
      <x:c r="J69" s="173" t="n">
        <x:v>6</x:v>
      </x:c>
      <x:c r="K69" s="173" t="n">
        <x:v>6</x:v>
      </x:c>
      <x:c r="L69" s="173" t="n">
        <x:v>0</x:v>
      </x:c>
      <x:c r="M69" s="173" t="n">
        <x:v>0</x:v>
      </x:c>
      <x:c r="N69" s="173" t="n">
        <x:v>881</x:v>
      </x:c>
      <x:c r="O69" s="173" t="n">
        <x:v>286</x:v>
      </x:c>
      <x:c r="P69" s="173" t="n">
        <x:v>15960</x:v>
      </x:c>
      <x:c r="Q69" s="173" t="n">
        <x:v>324</x:v>
      </x:c>
      <x:c r="R69" s="173" t="n">
        <x:v>16284</x:v>
      </x:c>
      <x:c r="S69" s="175" t="n">
        <x:v>0.001726</x:v>
      </x:c>
      <x:c r="T69" s="177" t="n">
        <x:v>3.786</x:v>
      </x:c>
      <x:c r="U69" s="179"/>
    </x:row>
    <x:row r="70">
      <x:c r="A70" s="160" t="str">
        <x:v>CLM-9013</x:v>
      </x:c>
      <x:c r="B70" s="161" t="str">
        <x:v>V1</x:v>
      </x:c>
      <x:c r="C70" s="161" t="n">
        <x:v>1</x:v>
      </x:c>
      <x:c r="D70" s="171" t="n">
        <x:v>1</x:v>
      </x:c>
      <x:c r="E70" s="171" t="n">
        <x:v>1</x:v>
      </x:c>
      <x:c r="F70" s="171" t="n">
        <x:v>1</x:v>
      </x:c>
      <x:c r="G70" s="171" t="n">
        <x:v>1</x:v>
      </x:c>
      <x:c r="H70" s="171" t="n">
        <x:v>1</x:v>
      </x:c>
      <x:c r="I70" s="173" t="n">
        <x:v>6</x:v>
      </x:c>
      <x:c r="J70" s="173" t="n">
        <x:v>5</x:v>
      </x:c>
      <x:c r="K70" s="173" t="n">
        <x:v>5</x:v>
      </x:c>
      <x:c r="L70" s="173" t="n">
        <x:v>0</x:v>
      </x:c>
      <x:c r="M70" s="173" t="n">
        <x:v>0</x:v>
      </x:c>
      <x:c r="N70" s="173" t="n">
        <x:v>944</x:v>
      </x:c>
      <x:c r="O70" s="173" t="n">
        <x:v>303</x:v>
      </x:c>
      <x:c r="P70" s="173" t="n">
        <x:v>13581</x:v>
      </x:c>
      <x:c r="Q70" s="173" t="n">
        <x:v>327</x:v>
      </x:c>
      <x:c r="R70" s="173" t="n">
        <x:v>13908</x:v>
      </x:c>
      <x:c r="S70" s="175" t="n">
        <x:v>0.001489</x:v>
      </x:c>
      <x:c r="T70" s="177" t="n">
        <x:v>4.234</x:v>
      </x:c>
      <x:c r="U70" s="179"/>
    </x:row>
    <x:row r="71">
      <x:c r="A71" s="160" t="str">
        <x:v>CLM-9014</x:v>
      </x:c>
      <x:c r="B71" s="161" t="str">
        <x:v>V1</x:v>
      </x:c>
      <x:c r="C71" s="161" t="n">
        <x:v>1</x:v>
      </x:c>
      <x:c r="D71" s="171" t="n">
        <x:v>1</x:v>
      </x:c>
      <x:c r="E71" s="171" t="n">
        <x:v>1</x:v>
      </x:c>
      <x:c r="F71" s="171" t="n">
        <x:v>1</x:v>
      </x:c>
      <x:c r="G71" s="171" t="n">
        <x:v>1</x:v>
      </x:c>
      <x:c r="H71" s="171" t="n">
        <x:v>1</x:v>
      </x:c>
      <x:c r="I71" s="173" t="n">
        <x:v>6</x:v>
      </x:c>
      <x:c r="J71" s="173" t="n">
        <x:v>5</x:v>
      </x:c>
      <x:c r="K71" s="173" t="n">
        <x:v>5</x:v>
      </x:c>
      <x:c r="L71" s="173" t="n">
        <x:v>0</x:v>
      </x:c>
      <x:c r="M71" s="173" t="n">
        <x:v>0</x:v>
      </x:c>
      <x:c r="N71" s="173" t="n">
        <x:v>969</x:v>
      </x:c>
      <x:c r="O71" s="173" t="n">
        <x:v>309</x:v>
      </x:c>
      <x:c r="P71" s="173" t="n">
        <x:v>13591</x:v>
      </x:c>
      <x:c r="Q71" s="173" t="n">
        <x:v>335</x:v>
      </x:c>
      <x:c r="R71" s="173" t="n">
        <x:v>13926</x:v>
      </x:c>
      <x:c r="S71" s="175" t="n">
        <x:v>0.001493</x:v>
      </x:c>
      <x:c r="T71" s="177" t="n">
        <x:v>3.639</x:v>
      </x:c>
      <x:c r="U71" s="179"/>
    </x:row>
    <x:row r="72">
      <x:c r="A72" s="160" t="str">
        <x:v>CLM-9015</x:v>
      </x:c>
      <x:c r="B72" s="161" t="str">
        <x:v>V1</x:v>
      </x:c>
      <x:c r="C72" s="161" t="n">
        <x:v>1</x:v>
      </x:c>
      <x:c r="D72" s="171" t="n">
        <x:v>1</x:v>
      </x:c>
      <x:c r="E72" s="171" t="n">
        <x:v>1</x:v>
      </x:c>
      <x:c r="F72" s="171" t="n">
        <x:v>1</x:v>
      </x:c>
      <x:c r="G72" s="171" t="n">
        <x:v>1</x:v>
      </x:c>
      <x:c r="H72" s="171" t="n">
        <x:v>1</x:v>
      </x:c>
      <x:c r="I72" s="173" t="n">
        <x:v>6</x:v>
      </x:c>
      <x:c r="J72" s="173" t="n">
        <x:v>5</x:v>
      </x:c>
      <x:c r="K72" s="173" t="n">
        <x:v>5</x:v>
      </x:c>
      <x:c r="L72" s="173" t="n">
        <x:v>0</x:v>
      </x:c>
      <x:c r="M72" s="173" t="n">
        <x:v>0</x:v>
      </x:c>
      <x:c r="N72" s="173" t="n">
        <x:v>858</x:v>
      </x:c>
      <x:c r="O72" s="173" t="n">
        <x:v>272</x:v>
      </x:c>
      <x:c r="P72" s="173" t="n">
        <x:v>13408</x:v>
      </x:c>
      <x:c r="Q72" s="173" t="n">
        <x:v>329</x:v>
      </x:c>
      <x:c r="R72" s="173" t="n">
        <x:v>13737</x:v>
      </x:c>
      <x:c r="S72" s="175" t="n">
        <x:v>0.001472</x:v>
      </x:c>
      <x:c r="T72" s="177" t="n">
        <x:v>3.641</x:v>
      </x:c>
      <x:c r="U72" s="179"/>
    </x:row>
    <x:row r="73">
      <x:c r="A73" s="160" t="str">
        <x:v>CLM-9016</x:v>
      </x:c>
      <x:c r="B73" s="161" t="str">
        <x:v>V1</x:v>
      </x:c>
      <x:c r="C73" s="161" t="n">
        <x:v>1</x:v>
      </x:c>
      <x:c r="D73" s="171" t="n">
        <x:v>0</x:v>
      </x:c>
      <x:c r="E73" s="171" t="n">
        <x:v>0</x:v>
      </x:c>
      <x:c r="F73" s="171" t="n">
        <x:v>1</x:v>
      </x:c>
      <x:c r="G73" s="171" t="n">
        <x:v>1</x:v>
      </x:c>
      <x:c r="H73" s="171" t="n">
        <x:v>0</x:v>
      </x:c>
      <x:c r="I73" s="173" t="n">
        <x:v>6</x:v>
      </x:c>
      <x:c r="J73" s="173" t="n">
        <x:v>5</x:v>
      </x:c>
      <x:c r="K73" s="173" t="n">
        <x:v>5</x:v>
      </x:c>
      <x:c r="L73" s="173" t="n">
        <x:v>0</x:v>
      </x:c>
      <x:c r="M73" s="173" t="n">
        <x:v>0</x:v>
      </x:c>
      <x:c r="N73" s="173" t="n">
        <x:v>1059</x:v>
      </x:c>
      <x:c r="O73" s="173" t="n">
        <x:v>339</x:v>
      </x:c>
      <x:c r="P73" s="173" t="n">
        <x:v>13762</x:v>
      </x:c>
      <x:c r="Q73" s="173" t="n">
        <x:v>441</x:v>
      </x:c>
      <x:c r="R73" s="173" t="n">
        <x:v>14203</x:v>
      </x:c>
      <x:c r="S73" s="175" t="n">
        <x:v>0.001553</x:v>
      </x:c>
      <x:c r="T73" s="177" t="n">
        <x:v>4.474</x:v>
      </x:c>
      <x:c r="U73" s="179"/>
    </x:row>
    <x:row r="74">
      <x:c r="A74" s="160" t="str">
        <x:v>CLM-9017</x:v>
      </x:c>
      <x:c r="B74" s="161" t="str">
        <x:v>V1</x:v>
      </x:c>
      <x:c r="C74" s="161" t="n">
        <x:v>1</x:v>
      </x:c>
      <x:c r="D74" s="171" t="n">
        <x:v>0</x:v>
      </x:c>
      <x:c r="E74" s="171" t="n">
        <x:v>0</x:v>
      </x:c>
      <x:c r="F74" s="171" t="n">
        <x:v>1</x:v>
      </x:c>
      <x:c r="G74" s="171" t="n">
        <x:v>1</x:v>
      </x:c>
      <x:c r="H74" s="171" t="n">
        <x:v>0</x:v>
      </x:c>
      <x:c r="I74" s="173" t="n">
        <x:v>6</x:v>
      </x:c>
      <x:c r="J74" s="173" t="n">
        <x:v>5</x:v>
      </x:c>
      <x:c r="K74" s="173" t="n">
        <x:v>5</x:v>
      </x:c>
      <x:c r="L74" s="173" t="n">
        <x:v>0</x:v>
      </x:c>
      <x:c r="M74" s="173" t="n">
        <x:v>0</x:v>
      </x:c>
      <x:c r="N74" s="173" t="n">
        <x:v>1110</x:v>
      </x:c>
      <x:c r="O74" s="173" t="n">
        <x:v>351</x:v>
      </x:c>
      <x:c r="P74" s="173" t="n">
        <x:v>13794</x:v>
      </x:c>
      <x:c r="Q74" s="173" t="n">
        <x:v>354</x:v>
      </x:c>
      <x:c r="R74" s="173" t="n">
        <x:v>14148</x:v>
      </x:c>
      <x:c r="S74" s="175" t="n">
        <x:v>0.001521</x:v>
      </x:c>
      <x:c r="T74" s="177" t="n">
        <x:v>3.714</x:v>
      </x:c>
      <x:c r="U74" s="179"/>
    </x:row>
    <x:row r="75">
      <x:c r="A75" s="160" t="str">
        <x:v>CLM-9018</x:v>
      </x:c>
      <x:c r="B75" s="161" t="str">
        <x:v>V1</x:v>
      </x:c>
      <x:c r="C75" s="161" t="n">
        <x:v>1</x:v>
      </x:c>
      <x:c r="D75" s="171" t="n">
        <x:v>1</x:v>
      </x:c>
      <x:c r="E75" s="171" t="n">
        <x:v>1</x:v>
      </x:c>
      <x:c r="F75" s="171" t="n">
        <x:v>1</x:v>
      </x:c>
      <x:c r="G75" s="171" t="n">
        <x:v>1</x:v>
      </x:c>
      <x:c r="H75" s="171" t="n">
        <x:v>1</x:v>
      </x:c>
      <x:c r="I75" s="173" t="n">
        <x:v>6</x:v>
      </x:c>
      <x:c r="J75" s="173" t="n">
        <x:v>5</x:v>
      </x:c>
      <x:c r="K75" s="173" t="n">
        <x:v>5</x:v>
      </x:c>
      <x:c r="L75" s="173" t="n">
        <x:v>0</x:v>
      </x:c>
      <x:c r="M75" s="173" t="n">
        <x:v>0</x:v>
      </x:c>
      <x:c r="N75" s="173" t="n">
        <x:v>956</x:v>
      </x:c>
      <x:c r="O75" s="173" t="n">
        <x:v>308</x:v>
      </x:c>
      <x:c r="P75" s="173" t="n">
        <x:v>13600</x:v>
      </x:c>
      <x:c r="Q75" s="173" t="n">
        <x:v>334</x:v>
      </x:c>
      <x:c r="R75" s="173" t="n">
        <x:v>13934</x:v>
      </x:c>
      <x:c r="S75" s="175" t="n">
        <x:v>0.001494</x:v>
      </x:c>
      <x:c r="T75" s="177" t="n">
        <x:v>3.645</x:v>
      </x:c>
      <x:c r="U75" s="179"/>
    </x:row>
    <x:row r="76">
      <x:c r="A76" s="160" t="str">
        <x:v>CLM-9019</x:v>
      </x:c>
      <x:c r="B76" s="161" t="str">
        <x:v>V1</x:v>
      </x:c>
      <x:c r="C76" s="161" t="n">
        <x:v>1</x:v>
      </x:c>
      <x:c r="D76" s="171" t="n">
        <x:v>0</x:v>
      </x:c>
      <x:c r="E76" s="171" t="n">
        <x:v>0</x:v>
      </x:c>
      <x:c r="F76" s="171" t="n">
        <x:v>1</x:v>
      </x:c>
      <x:c r="G76" s="171" t="n">
        <x:v>1</x:v>
      </x:c>
      <x:c r="H76" s="171" t="n">
        <x:v>0</x:v>
      </x:c>
      <x:c r="I76" s="173" t="n">
        <x:v>6</x:v>
      </x:c>
      <x:c r="J76" s="173" t="n">
        <x:v>5</x:v>
      </x:c>
      <x:c r="K76" s="173" t="n">
        <x:v>5</x:v>
      </x:c>
      <x:c r="L76" s="173" t="n">
        <x:v>0</x:v>
      </x:c>
      <x:c r="M76" s="173" t="n">
        <x:v>0</x:v>
      </x:c>
      <x:c r="N76" s="173" t="n">
        <x:v>875</x:v>
      </x:c>
      <x:c r="O76" s="173" t="n">
        <x:v>287</x:v>
      </x:c>
      <x:c r="P76" s="173" t="n">
        <x:v>13540</x:v>
      </x:c>
      <x:c r="Q76" s="173" t="n">
        <x:v>290</x:v>
      </x:c>
      <x:c r="R76" s="173" t="n">
        <x:v>13830</x:v>
      </x:c>
      <x:c r="S76" s="175" t="n">
        <x:v>0.00147</x:v>
      </x:c>
      <x:c r="T76" s="177" t="n">
        <x:v>2.954</x:v>
      </x:c>
      <x:c r="U76" s="179"/>
    </x:row>
    <x:row r="77">
      <x:c r="A77" s="160" t="str">
        <x:v>CLM-9020</x:v>
      </x:c>
      <x:c r="B77" s="161" t="str">
        <x:v>V1</x:v>
      </x:c>
      <x:c r="C77" s="161" t="n">
        <x:v>1</x:v>
      </x:c>
      <x:c r="D77" s="171" t="n">
        <x:v>1</x:v>
      </x:c>
      <x:c r="E77" s="171" t="n">
        <x:v>1</x:v>
      </x:c>
      <x:c r="F77" s="171" t="n">
        <x:v>1</x:v>
      </x:c>
      <x:c r="G77" s="171" t="n">
        <x:v>1</x:v>
      </x:c>
      <x:c r="H77" s="171" t="n">
        <x:v>1</x:v>
      </x:c>
      <x:c r="I77" s="173" t="n">
        <x:v>5</x:v>
      </x:c>
      <x:c r="J77" s="173" t="n">
        <x:v>4</x:v>
      </x:c>
      <x:c r="K77" s="173" t="n">
        <x:v>5</x:v>
      </x:c>
      <x:c r="L77" s="173" t="n">
        <x:v>0</x:v>
      </x:c>
      <x:c r="M77" s="173" t="n">
        <x:v>0</x:v>
      </x:c>
      <x:c r="N77" s="173" t="n">
        <x:v>997</x:v>
      </x:c>
      <x:c r="O77" s="173" t="n">
        <x:v>320</x:v>
      </x:c>
      <x:c r="P77" s="173" t="n">
        <x:v>11284</x:v>
      </x:c>
      <x:c r="Q77" s="173" t="n">
        <x:v>311</x:v>
      </x:c>
      <x:c r="R77" s="173" t="n">
        <x:v>11595</x:v>
      </x:c>
      <x:c r="S77" s="175" t="n">
        <x:v>0.001253</x:v>
      </x:c>
      <x:c r="T77" s="177" t="n">
        <x:v>3.061</x:v>
      </x:c>
      <x:c r="U77" s="179"/>
    </x:row>
    <x:row r="78">
      <x:c r="A78" s="160" t="str">
        <x:v>CLM-9021</x:v>
      </x:c>
      <x:c r="B78" s="161" t="str">
        <x:v>V1</x:v>
      </x:c>
      <x:c r="C78" s="161" t="n">
        <x:v>1</x:v>
      </x:c>
      <x:c r="D78" s="171" t="n">
        <x:v>1</x:v>
      </x:c>
      <x:c r="E78" s="171" t="n">
        <x:v>1</x:v>
      </x:c>
      <x:c r="F78" s="171" t="n">
        <x:v>1</x:v>
      </x:c>
      <x:c r="G78" s="171" t="n">
        <x:v>1</x:v>
      </x:c>
      <x:c r="H78" s="171" t="n">
        <x:v>1</x:v>
      </x:c>
      <x:c r="I78" s="173" t="n">
        <x:v>5</x:v>
      </x:c>
      <x:c r="J78" s="173" t="n">
        <x:v>4</x:v>
      </x:c>
      <x:c r="K78" s="173" t="n">
        <x:v>5</x:v>
      </x:c>
      <x:c r="L78" s="173" t="n">
        <x:v>0</x:v>
      </x:c>
      <x:c r="M78" s="173" t="n">
        <x:v>0</x:v>
      </x:c>
      <x:c r="N78" s="173" t="n">
        <x:v>1000</x:v>
      </x:c>
      <x:c r="O78" s="173" t="n">
        <x:v>324</x:v>
      </x:c>
      <x:c r="P78" s="173" t="n">
        <x:v>11272</x:v>
      </x:c>
      <x:c r="Q78" s="173" t="n">
        <x:v>297</x:v>
      </x:c>
      <x:c r="R78" s="173" t="n">
        <x:v>11569</x:v>
      </x:c>
      <x:c r="S78" s="175" t="n">
        <x:v>0.001246</x:v>
      </x:c>
      <x:c r="T78" s="177" t="n">
        <x:v>3.099</x:v>
      </x:c>
      <x:c r="U78" s="179"/>
    </x:row>
    <x:row r="79">
      <x:c r="A79" s="160" t="str">
        <x:v>CLM-9022</x:v>
      </x:c>
      <x:c r="B79" s="161" t="str">
        <x:v>V1</x:v>
      </x:c>
      <x:c r="C79" s="161" t="n">
        <x:v>1</x:v>
      </x:c>
      <x:c r="D79" s="171" t="n">
        <x:v>1</x:v>
      </x:c>
      <x:c r="E79" s="171" t="n">
        <x:v>1</x:v>
      </x:c>
      <x:c r="F79" s="171" t="n">
        <x:v>1</x:v>
      </x:c>
      <x:c r="G79" s="171" t="n">
        <x:v>1</x:v>
      </x:c>
      <x:c r="H79" s="171" t="n">
        <x:v>1</x:v>
      </x:c>
      <x:c r="I79" s="173" t="n">
        <x:v>7</x:v>
      </x:c>
      <x:c r="J79" s="173" t="n">
        <x:v>6</x:v>
      </x:c>
      <x:c r="K79" s="173" t="n">
        <x:v>6</x:v>
      </x:c>
      <x:c r="L79" s="173" t="n">
        <x:v>0</x:v>
      </x:c>
      <x:c r="M79" s="173" t="n">
        <x:v>0</x:v>
      </x:c>
      <x:c r="N79" s="173" t="n">
        <x:v>1023</x:v>
      </x:c>
      <x:c r="O79" s="173" t="n">
        <x:v>333</x:v>
      </x:c>
      <x:c r="P79" s="173" t="n">
        <x:v>16246</x:v>
      </x:c>
      <x:c r="Q79" s="173" t="n">
        <x:v>394</x:v>
      </x:c>
      <x:c r="R79" s="173" t="n">
        <x:v>16640</x:v>
      </x:c>
      <x:c r="S79" s="175" t="n">
        <x:v>0.001782</x:v>
      </x:c>
      <x:c r="T79" s="177" t="n">
        <x:v>4.266</x:v>
      </x:c>
      <x:c r="U79" s="179"/>
    </x:row>
    <x:row r="80">
      <x:c r="A80" s="160" t="str">
        <x:v>CLM-9023</x:v>
      </x:c>
      <x:c r="B80" s="161" t="str">
        <x:v>V1</x:v>
      </x:c>
      <x:c r="C80" s="161" t="n">
        <x:v>1</x:v>
      </x:c>
      <x:c r="D80" s="171" t="n">
        <x:v>1</x:v>
      </x:c>
      <x:c r="E80" s="171" t="n">
        <x:v>1</x:v>
      </x:c>
      <x:c r="F80" s="171" t="n">
        <x:v>1</x:v>
      </x:c>
      <x:c r="G80" s="171" t="n">
        <x:v>1</x:v>
      </x:c>
      <x:c r="H80" s="171" t="n">
        <x:v>1</x:v>
      </x:c>
      <x:c r="I80" s="173" t="n">
        <x:v>7</x:v>
      </x:c>
      <x:c r="J80" s="173" t="n">
        <x:v>6</x:v>
      </x:c>
      <x:c r="K80" s="173" t="n">
        <x:v>6</x:v>
      </x:c>
      <x:c r="L80" s="173" t="n">
        <x:v>0</x:v>
      </x:c>
      <x:c r="M80" s="173" t="n">
        <x:v>0</x:v>
      </x:c>
      <x:c r="N80" s="173" t="n">
        <x:v>1042</x:v>
      </x:c>
      <x:c r="O80" s="173" t="n">
        <x:v>334</x:v>
      </x:c>
      <x:c r="P80" s="173" t="n">
        <x:v>16250</x:v>
      </x:c>
      <x:c r="Q80" s="173" t="n">
        <x:v>483</x:v>
      </x:c>
      <x:c r="R80" s="173" t="n">
        <x:v>16733</x:v>
      </x:c>
      <x:c r="S80" s="175" t="n">
        <x:v>0.001818</x:v>
      </x:c>
      <x:c r="T80" s="177" t="n">
        <x:v>5.073</x:v>
      </x:c>
      <x:c r="U80" s="179"/>
    </x:row>
    <x:row r="81">
      <x:c r="A81" s="160" t="str">
        <x:v>CLM-9024</x:v>
      </x:c>
      <x:c r="B81" s="161" t="str">
        <x:v>V1</x:v>
      </x:c>
      <x:c r="C81" s="161" t="n">
        <x:v>1</x:v>
      </x:c>
      <x:c r="D81" s="171" t="n">
        <x:v>1</x:v>
      </x:c>
      <x:c r="E81" s="171" t="n">
        <x:v>1</x:v>
      </x:c>
      <x:c r="F81" s="171" t="n">
        <x:v>1</x:v>
      </x:c>
      <x:c r="G81" s="171" t="n">
        <x:v>1</x:v>
      </x:c>
      <x:c r="H81" s="171" t="n">
        <x:v>1</x:v>
      </x:c>
      <x:c r="I81" s="173" t="n">
        <x:v>7</x:v>
      </x:c>
      <x:c r="J81" s="173" t="n">
        <x:v>6</x:v>
      </x:c>
      <x:c r="K81" s="173" t="n">
        <x:v>6</x:v>
      </x:c>
      <x:c r="L81" s="173" t="n">
        <x:v>0</x:v>
      </x:c>
      <x:c r="M81" s="173" t="n">
        <x:v>0</x:v>
      </x:c>
      <x:c r="N81" s="173" t="n">
        <x:v>1042</x:v>
      </x:c>
      <x:c r="O81" s="173" t="n">
        <x:v>332</x:v>
      </x:c>
      <x:c r="P81" s="173" t="n">
        <x:v>16232</x:v>
      </x:c>
      <x:c r="Q81" s="173" t="n">
        <x:v>348</x:v>
      </x:c>
      <x:c r="R81" s="173" t="n">
        <x:v>16580</x:v>
      </x:c>
      <x:c r="S81" s="175" t="n">
        <x:v>0.001762</x:v>
      </x:c>
      <x:c r="T81" s="177" t="n">
        <x:v>3.815</x:v>
      </x:c>
      <x:c r="U81" s="179"/>
    </x:row>
    <x:row r="82">
      <x:c r="A82" s="160" t="str">
        <x:v>CLM-9025</x:v>
      </x:c>
      <x:c r="B82" s="161" t="str">
        <x:v>V1</x:v>
      </x:c>
      <x:c r="C82" s="161" t="n">
        <x:v>1</x:v>
      </x:c>
      <x:c r="D82" s="171" t="n">
        <x:v>0</x:v>
      </x:c>
      <x:c r="E82" s="171" t="n">
        <x:v>0</x:v>
      </x:c>
      <x:c r="F82" s="171" t="n">
        <x:v>1</x:v>
      </x:c>
      <x:c r="G82" s="171" t="n">
        <x:v>0</x:v>
      </x:c>
      <x:c r="H82" s="171" t="n">
        <x:v>0</x:v>
      </x:c>
      <x:c r="I82" s="173" t="n">
        <x:v>7</x:v>
      </x:c>
      <x:c r="J82" s="173" t="n">
        <x:v>6</x:v>
      </x:c>
      <x:c r="K82" s="173" t="n">
        <x:v>6</x:v>
      </x:c>
      <x:c r="L82" s="173" t="n">
        <x:v>0</x:v>
      </x:c>
      <x:c r="M82" s="173" t="n">
        <x:v>0</x:v>
      </x:c>
      <x:c r="N82" s="173" t="n">
        <x:v>905</x:v>
      </x:c>
      <x:c r="O82" s="173" t="n">
        <x:v>295</x:v>
      </x:c>
      <x:c r="P82" s="173" t="n">
        <x:v>16039</x:v>
      </x:c>
      <x:c r="Q82" s="173" t="n">
        <x:v>340</x:v>
      </x:c>
      <x:c r="R82" s="173" t="n">
        <x:v>16379</x:v>
      </x:c>
      <x:c r="S82" s="175" t="n">
        <x:v>0.00174</x:v>
      </x:c>
      <x:c r="T82" s="177" t="n">
        <x:v>3.833</x:v>
      </x:c>
      <x:c r="U82" s="179"/>
    </x:row>
    <x:row r="83">
      <x:c r="A83" s="160" t="str">
        <x:v>CLM-9025</x:v>
      </x:c>
      <x:c r="B83" s="161" t="str">
        <x:v>V1</x:v>
      </x:c>
      <x:c r="C83" s="161" t="n">
        <x:v>2</x:v>
      </x:c>
      <x:c r="D83" s="171" t="n">
        <x:v>0</x:v>
      </x:c>
      <x:c r="E83" s="171" t="n">
        <x:v>0</x:v>
      </x:c>
      <x:c r="F83" s="171" t="n">
        <x:v>1</x:v>
      </x:c>
      <x:c r="G83" s="171" t="n">
        <x:v>0</x:v>
      </x:c>
      <x:c r="H83" s="171" t="n">
        <x:v>0</x:v>
      </x:c>
      <x:c r="I83" s="173" t="n">
        <x:v>6</x:v>
      </x:c>
      <x:c r="J83" s="173" t="n">
        <x:v>5</x:v>
      </x:c>
      <x:c r="K83" s="173" t="n">
        <x:v>5</x:v>
      </x:c>
      <x:c r="L83" s="173" t="n">
        <x:v>0</x:v>
      </x:c>
      <x:c r="M83" s="173" t="n">
        <x:v>0</x:v>
      </x:c>
      <x:c r="N83" s="173" t="n">
        <x:v>877</x:v>
      </x:c>
      <x:c r="O83" s="173" t="n">
        <x:v>286</x:v>
      </x:c>
      <x:c r="P83" s="173" t="n">
        <x:v>13472</x:v>
      </x:c>
      <x:c r="Q83" s="173" t="n">
        <x:v>271</x:v>
      </x:c>
      <x:c r="R83" s="173" t="n">
        <x:v>13743</x:v>
      </x:c>
      <x:c r="S83" s="175" t="n">
        <x:v>0.001456</x:v>
      </x:c>
      <x:c r="T83" s="177" t="n">
        <x:v>3.076</x:v>
      </x:c>
      <x:c r="U83" s="179"/>
    </x:row>
    <x:row r="84">
      <x:c r="A84" s="163" t="str">
        <x:v>CLM-9025</x:v>
      </x:c>
      <x:c r="B84" s="164" t="str">
        <x:v>V1</x:v>
      </x:c>
      <x:c r="C84" s="164" t="n">
        <x:v>3</x:v>
      </x:c>
      <x:c r="D84" s="172" t="n">
        <x:v>0</x:v>
      </x:c>
      <x:c r="E84" s="172" t="n">
        <x:v>0</x:v>
      </x:c>
      <x:c r="F84" s="172" t="n">
        <x:v>1</x:v>
      </x:c>
      <x:c r="G84" s="172" t="n">
        <x:v>1</x:v>
      </x:c>
      <x:c r="H84" s="172" t="n">
        <x:v>0</x:v>
      </x:c>
      <x:c r="I84" s="174" t="n">
        <x:v>6</x:v>
      </x:c>
      <x:c r="J84" s="174" t="n">
        <x:v>5</x:v>
      </x:c>
      <x:c r="K84" s="174" t="n">
        <x:v>5</x:v>
      </x:c>
      <x:c r="L84" s="174" t="n">
        <x:v>0</x:v>
      </x:c>
      <x:c r="M84" s="174" t="n">
        <x:v>0</x:v>
      </x:c>
      <x:c r="N84" s="174" t="n">
        <x:v>877</x:v>
      </x:c>
      <x:c r="O84" s="174" t="n">
        <x:v>286</x:v>
      </x:c>
      <x:c r="P84" s="174" t="n">
        <x:v>13490</x:v>
      </x:c>
      <x:c r="Q84" s="174" t="n">
        <x:v>283</x:v>
      </x:c>
      <x:c r="R84" s="174" t="n">
        <x:v>13773</x:v>
      </x:c>
      <x:c r="S84" s="176" t="n">
        <x:v>0.001462</x:v>
      </x:c>
      <x:c r="T84" s="178" t="n">
        <x:v>3.106</x:v>
      </x:c>
      <x:c r="U84" s="180"/>
    </x:row>
  </x:sheetData>
  <x:mergeCells>
    <x:mergeCell ref="A1:U1"/>
    <x:mergeCell ref="A23:U23"/>
    <x:mergeCell ref="A2:U2"/>
  </x:mergeCells>
  <x:pageMargins left="0.7" right="0.7" top="0.75" bottom="0.75" header="0.3" footer="0.3"/>
</x:worksheet>
</file>